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re\Desktop\eCommerce\"/>
    </mc:Choice>
  </mc:AlternateContent>
  <xr:revisionPtr revIDLastSave="0" documentId="13_ncr:1_{5A06E41A-25DD-48CC-8D20-5485722F9F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summary_cust" sheetId="7" r:id="rId2"/>
    <sheet name="summary_ord" sheetId="8" r:id="rId3"/>
    <sheet name="summary_dyn" sheetId="9" r:id="rId4"/>
    <sheet name="categories" sheetId="10" r:id="rId5"/>
    <sheet name="anomalies" sheetId="6" r:id="rId6"/>
  </sheets>
  <externalReferences>
    <externalReference r:id="rId7"/>
  </externalReferences>
  <calcPr calcId="181029"/>
  <pivotCaches>
    <pivotCache cacheId="0" r:id="rId8"/>
  </pivotCaches>
</workbook>
</file>

<file path=xl/calcChain.xml><?xml version="1.0" encoding="utf-8"?>
<calcChain xmlns="http://schemas.openxmlformats.org/spreadsheetml/2006/main">
  <c r="C3" i="8" l="1"/>
  <c r="C4" i="8"/>
  <c r="C5" i="8"/>
  <c r="C2" i="8"/>
  <c r="J11" i="7"/>
  <c r="I11" i="7"/>
  <c r="H11" i="7"/>
  <c r="G11" i="7"/>
  <c r="J10" i="7"/>
  <c r="I10" i="7"/>
  <c r="H10" i="7"/>
  <c r="G10" i="7"/>
  <c r="J9" i="7"/>
  <c r="I9" i="7"/>
  <c r="H9" i="7"/>
  <c r="G9" i="7"/>
  <c r="J8" i="7"/>
  <c r="I8" i="7"/>
  <c r="H8" i="7"/>
  <c r="G8" i="7"/>
  <c r="J7" i="7"/>
  <c r="I7" i="7"/>
  <c r="H7" i="7"/>
  <c r="G7" i="7"/>
  <c r="J6" i="7"/>
  <c r="I6" i="7"/>
  <c r="H6" i="7"/>
  <c r="G6" i="7"/>
  <c r="J5" i="7"/>
  <c r="I5" i="7"/>
  <c r="H5" i="7"/>
  <c r="G5" i="7"/>
  <c r="J4" i="7"/>
  <c r="I4" i="7"/>
  <c r="H4" i="7"/>
  <c r="G4" i="7"/>
  <c r="J3" i="7"/>
  <c r="I3" i="7"/>
  <c r="H3" i="7"/>
  <c r="G3" i="7"/>
  <c r="J2" i="7"/>
  <c r="I2" i="7"/>
  <c r="H2" i="7"/>
  <c r="G2" i="7"/>
</calcChain>
</file>

<file path=xl/sharedStrings.xml><?xml version="1.0" encoding="utf-8"?>
<sst xmlns="http://schemas.openxmlformats.org/spreadsheetml/2006/main" count="227" uniqueCount="55">
  <si>
    <t>cust_reg</t>
  </si>
  <si>
    <t>cust_act</t>
  </si>
  <si>
    <t>share_new</t>
  </si>
  <si>
    <t>tot_rev</t>
  </si>
  <si>
    <t>avg_ord_sum</t>
  </si>
  <si>
    <t>cnt_ord</t>
  </si>
  <si>
    <t>avg_items_per_ord</t>
  </si>
  <si>
    <t>max_ord_per_cust</t>
  </si>
  <si>
    <t>reg_y_m</t>
  </si>
  <si>
    <t>organic</t>
  </si>
  <si>
    <t>paid</t>
  </si>
  <si>
    <t>referral</t>
  </si>
  <si>
    <t>social</t>
  </si>
  <si>
    <t>tot_cust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</si>
  <si>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</si>
  <si>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</si>
  <si>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</si>
  <si>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</si>
  <si>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</si>
  <si>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</si>
  <si>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</si>
  <si>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</si>
  <si>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</si>
  <si>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</si>
  <si>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acquisition_channel</t>
  </si>
  <si>
    <t>total_amount</t>
  </si>
  <si>
    <t>ord_y_m</t>
  </si>
  <si>
    <t>avg_items</t>
  </si>
  <si>
    <t>cnt_cust</t>
  </si>
  <si>
    <t>amount_mon</t>
  </si>
  <si>
    <t>avg_ord_amt</t>
  </si>
  <si>
    <t>2024-11</t>
  </si>
  <si>
    <t>2024-12</t>
  </si>
  <si>
    <t>order_y_m</t>
  </si>
  <si>
    <t>category</t>
  </si>
  <si>
    <t>total_sum</t>
  </si>
  <si>
    <t>bakery</t>
  </si>
  <si>
    <t>dairy</t>
  </si>
  <si>
    <t>fruits</t>
  </si>
  <si>
    <t>meat</t>
  </si>
  <si>
    <t>seafood</t>
  </si>
  <si>
    <t>vegetables</t>
  </si>
  <si>
    <t>cnt_large_ord</t>
  </si>
  <si>
    <t>avg_items_l_ord</t>
  </si>
  <si>
    <t>avg_sum_l_ord</t>
  </si>
  <si>
    <t>cnt_ord_11+items</t>
  </si>
  <si>
    <t>% organic</t>
  </si>
  <si>
    <t>% paid</t>
  </si>
  <si>
    <t>% referral</t>
  </si>
  <si>
    <t>% social</t>
  </si>
  <si>
    <t>доля</t>
  </si>
  <si>
    <t>Сумма по полю total_sum</t>
  </si>
  <si>
    <t>Названия столбцов</t>
  </si>
  <si>
    <t>Названия строк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</si>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</sst>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2" borderId="0" xfId="0" applyNumberFormat="1" applyFill="1"/>
    <xf numFmtId="4" fontId="0" fillId="0" borderId="0" xfId="0" applyNumberFormat="1"/>
    <xf numFmtId="9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Динамика выручки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summary_dyn!$E$1</c:f>
              <c:strCache>
                <c:ptCount val="1"/>
                <c:pt idx="0">
                  <c:v>amount_mon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summary_dyn!$A$2:$A$13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summary_dyn!$E$2:$E$13</c:f>
              <c:numCache>
                <c:formatCode>#,##0</c:formatCode>
                <c:ptCount val="12"/>
                <c:pt idx="0">
                  <c:v>1546984.32</c:v>
                </c:pt>
                <c:pt idx="1">
                  <c:v>1467448.89</c:v>
                </c:pt>
                <c:pt idx="2">
                  <c:v>1536850.94</c:v>
                </c:pt>
                <c:pt idx="3">
                  <c:v>1538195.31</c:v>
                </c:pt>
                <c:pt idx="4">
                  <c:v>1547346.38</c:v>
                </c:pt>
                <c:pt idx="5">
                  <c:v>2318353.31</c:v>
                </c:pt>
                <c:pt idx="6">
                  <c:v>2343497.17</c:v>
                </c:pt>
                <c:pt idx="7">
                  <c:v>2255893.1800000002</c:v>
                </c:pt>
                <c:pt idx="8">
                  <c:v>1505711.24</c:v>
                </c:pt>
                <c:pt idx="9">
                  <c:v>1556958.75</c:v>
                </c:pt>
                <c:pt idx="10">
                  <c:v>1529727.03</c:v>
                </c:pt>
                <c:pt idx="11">
                  <c:v>65748.259999999995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DB-48E0-AD6E-890EA4B54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184448"/>
        <c:axId val="1100177248"/>
      </c:lineChart>
      <c:catAx>
        <c:axId val="110018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0177248"/>
        <c:crosses val="autoZero"/>
        <c:auto val="1"/>
        <c:lblAlgn val="ctr"/>
        <c:lblOffset val="100"/>
        <c:noMultiLvlLbl val="0"/>
      </c:catAx>
      <c:valAx>
        <c:axId val="11001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Выручка, руб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018444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Динамика количества заказов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summary_dyn!$B$1</c:f>
              <c:strCache>
                <c:ptCount val="1"/>
                <c:pt idx="0">
                  <c:v>cnt_ord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summary_dyn!$A$2:$A$13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summary_dyn!$B$2:$B$13</c:f>
              <c:numCache>
                <c:formatCode>General</c:formatCode>
                <c:ptCount val="12"/>
                <c:pt idx="0">
                  <c:v>1574</c:v>
                </c:pt>
                <c:pt idx="1">
                  <c:v>1484</c:v>
                </c:pt>
                <c:pt idx="2">
                  <c:v>1547</c:v>
                </c:pt>
                <c:pt idx="3">
                  <c:v>1563</c:v>
                </c:pt>
                <c:pt idx="4">
                  <c:v>1564</c:v>
                </c:pt>
                <c:pt idx="5">
                  <c:v>1508</c:v>
                </c:pt>
                <c:pt idx="6">
                  <c:v>1630</c:v>
                </c:pt>
                <c:pt idx="7">
                  <c:v>1533</c:v>
                </c:pt>
                <c:pt idx="8">
                  <c:v>1512</c:v>
                </c:pt>
                <c:pt idx="9">
                  <c:v>1568</c:v>
                </c:pt>
                <c:pt idx="10">
                  <c:v>1535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54-4CBF-80E1-5ACDDE922E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00206528"/>
        <c:axId val="1100209888"/>
      </c:lineChart>
      <c:catAx>
        <c:axId val="110020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0209888"/>
        <c:crosses val="autoZero"/>
        <c:auto val="1"/>
        <c:lblAlgn val="ctr"/>
        <c:lblOffset val="100"/>
        <c:noMultiLvlLbl val="0"/>
      </c:catAx>
      <c:valAx>
        <c:axId val="11002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заказов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020652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Динамика количества клиентов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summary_dyn!$D$1</c:f>
              <c:strCache>
                <c:ptCount val="1"/>
                <c:pt idx="0">
                  <c:v>cnt_cust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summary_dyn!$A$2:$A$13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summary_dyn!$D$2:$D$13</c:f>
              <c:numCache>
                <c:formatCode>General</c:formatCode>
                <c:ptCount val="12"/>
                <c:pt idx="0">
                  <c:v>1197</c:v>
                </c:pt>
                <c:pt idx="1">
                  <c:v>1126</c:v>
                </c:pt>
                <c:pt idx="2">
                  <c:v>1150</c:v>
                </c:pt>
                <c:pt idx="3">
                  <c:v>1156</c:v>
                </c:pt>
                <c:pt idx="4">
                  <c:v>1154</c:v>
                </c:pt>
                <c:pt idx="5">
                  <c:v>1130</c:v>
                </c:pt>
                <c:pt idx="6">
                  <c:v>1187</c:v>
                </c:pt>
                <c:pt idx="7">
                  <c:v>1159</c:v>
                </c:pt>
                <c:pt idx="8">
                  <c:v>1153</c:v>
                </c:pt>
                <c:pt idx="9">
                  <c:v>1191</c:v>
                </c:pt>
                <c:pt idx="10">
                  <c:v>1142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B-4C65-B3C3-70655FEF22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00232928"/>
        <c:axId val="1100235328"/>
      </c:lineChart>
      <c:catAx>
        <c:axId val="110023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0235328"/>
        <c:crosses val="autoZero"/>
        <c:auto val="1"/>
        <c:lblAlgn val="ctr"/>
        <c:lblOffset val="100"/>
        <c:noMultiLvlLbl val="0"/>
      </c:catAx>
      <c:valAx>
        <c:axId val="110023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клиентов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023292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Динамика средней суммы заказа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summary_dyn!$F$1</c:f>
              <c:strCache>
                <c:ptCount val="1"/>
                <c:pt idx="0">
                  <c:v>avg_ord_amt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summary_dyn!$A$2:$A$13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summary_dyn!$F$2:$F$13</c:f>
              <c:numCache>
                <c:formatCode>#,##0</c:formatCode>
                <c:ptCount val="12"/>
                <c:pt idx="0">
                  <c:v>982.83628970775101</c:v>
                </c:pt>
                <c:pt idx="1">
                  <c:v>988.84696091644196</c:v>
                </c:pt>
                <c:pt idx="2">
                  <c:v>993.43952165481574</c:v>
                </c:pt>
                <c:pt idx="3">
                  <c:v>984.13007677543192</c:v>
                </c:pt>
                <c:pt idx="4">
                  <c:v>989.35190537084395</c:v>
                </c:pt>
                <c:pt idx="5">
                  <c:v>1537.3695689655169</c:v>
                </c:pt>
                <c:pt idx="6">
                  <c:v>1437.728325153374</c:v>
                </c:pt>
                <c:pt idx="7">
                  <c:v>1471.5545857795171</c:v>
                </c:pt>
                <c:pt idx="8">
                  <c:v>995.84076719576717</c:v>
                </c:pt>
                <c:pt idx="9">
                  <c:v>992.95838647959181</c:v>
                </c:pt>
                <c:pt idx="10">
                  <c:v>996.56484039087945</c:v>
                </c:pt>
                <c:pt idx="11">
                  <c:v>1398.8991489361699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3-4A97-BCF3-B558FB4E6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212976"/>
        <c:axId val="1264199056"/>
      </c:lineChart>
      <c:catAx>
        <c:axId val="126421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4199056"/>
        <c:crosses val="autoZero"/>
        <c:auto val="1"/>
        <c:lblAlgn val="ctr"/>
        <c:lblOffset val="100"/>
        <c:noMultiLvlLbl val="0"/>
      </c:catAx>
      <c:valAx>
        <c:axId val="126419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Средняя сумма заказа, руб.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42129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[eda_report_concl.xlsx]categories!Сводная таблица1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 распределение выручки по категориям товаров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categories!$H$2:$H$3</c:f>
              <c:strCache>
                <c:ptCount val="1"/>
                <c:pt idx="0">
                  <c:v>bakery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categories!$G$4:$G$16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categories!$H$4:$H$16</c:f>
              <c:numCache>
                <c:formatCode>#,##0</c:formatCode>
                <c:ptCount val="12"/>
                <c:pt idx="0">
                  <c:v>92574.94</c:v>
                </c:pt>
                <c:pt idx="1">
                  <c:v>82636.47</c:v>
                </c:pt>
                <c:pt idx="2">
                  <c:v>83147.839999999997</c:v>
                </c:pt>
                <c:pt idx="3">
                  <c:v>84080.52</c:v>
                </c:pt>
                <c:pt idx="4">
                  <c:v>85419.99</c:v>
                </c:pt>
                <c:pt idx="5">
                  <c:v>125515.74</c:v>
                </c:pt>
                <c:pt idx="6">
                  <c:v>130792.59</c:v>
                </c:pt>
                <c:pt idx="7">
                  <c:v>127155.21</c:v>
                </c:pt>
                <c:pt idx="8">
                  <c:v>84306.04</c:v>
                </c:pt>
                <c:pt idx="9">
                  <c:v>90807.46</c:v>
                </c:pt>
                <c:pt idx="10">
                  <c:v>84779.38</c:v>
                </c:pt>
                <c:pt idx="11">
                  <c:v>2878.25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3-4ED4-BE3C-3945D62BB57D}"/>
            </c:ext>
          </c:extLst>
        </c:ser>
        <c:ser>
          <c:idx val="1"/>
          <c:order val="1"/>
          <c:tx>
            <c:strRef>
              <c:f>categories!$I$2:$I$3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categories!$G$4:$G$16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categories!$I$4:$I$16</c:f>
              <c:numCache>
                <c:formatCode>#,##0</c:formatCode>
                <c:ptCount val="12"/>
                <c:pt idx="0">
                  <c:v>179918.59</c:v>
                </c:pt>
                <c:pt idx="1">
                  <c:v>160999.59</c:v>
                </c:pt>
                <c:pt idx="2">
                  <c:v>173399.3</c:v>
                </c:pt>
                <c:pt idx="3">
                  <c:v>171718.47</c:v>
                </c:pt>
                <c:pt idx="4">
                  <c:v>168838.91</c:v>
                </c:pt>
                <c:pt idx="5">
                  <c:v>240993.64</c:v>
                </c:pt>
                <c:pt idx="6">
                  <c:v>256427.56</c:v>
                </c:pt>
                <c:pt idx="7">
                  <c:v>251918.96</c:v>
                </c:pt>
                <c:pt idx="8">
                  <c:v>172173.9</c:v>
                </c:pt>
                <c:pt idx="9">
                  <c:v>183630.92</c:v>
                </c:pt>
                <c:pt idx="10">
                  <c:v>175313.77</c:v>
                </c:pt>
                <c:pt idx="11">
                  <c:v>8369.27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13-4ED4-BE3C-3945D62BB57D}"/>
            </c:ext>
          </c:extLst>
        </c:ser>
        <c:ser>
          <c:idx val="2"/>
          <c:order val="2"/>
          <c:tx>
            <c:strRef>
              <c:f>categories!$J$2:$J$3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categories!$G$4:$G$16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categories!$J$4:$J$16</c:f>
              <c:numCache>
                <c:formatCode>#,##0</c:formatCode>
                <c:ptCount val="12"/>
                <c:pt idx="0">
                  <c:v>144210.26</c:v>
                </c:pt>
                <c:pt idx="1">
                  <c:v>136008.48000000001</c:v>
                </c:pt>
                <c:pt idx="2">
                  <c:v>152099.65</c:v>
                </c:pt>
                <c:pt idx="3">
                  <c:v>142702.38</c:v>
                </c:pt>
                <c:pt idx="4">
                  <c:v>147334.21</c:v>
                </c:pt>
                <c:pt idx="5">
                  <c:v>212015.32</c:v>
                </c:pt>
                <c:pt idx="6">
                  <c:v>226575.39</c:v>
                </c:pt>
                <c:pt idx="7">
                  <c:v>198095.52</c:v>
                </c:pt>
                <c:pt idx="8">
                  <c:v>140310.64000000001</c:v>
                </c:pt>
                <c:pt idx="9">
                  <c:v>135626.19</c:v>
                </c:pt>
                <c:pt idx="10">
                  <c:v>142875.43</c:v>
                </c:pt>
                <c:pt idx="11">
                  <c:v>6662.6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13-4ED4-BE3C-3945D62BB57D}"/>
            </c:ext>
          </c:extLst>
        </c:ser>
        <c:ser>
          <c:idx val="3"/>
          <c:order val="3"/>
          <c:tx>
            <c:strRef>
              <c:f>categories!$K$2:$K$3</c:f>
              <c:strCache>
                <c:ptCount val="1"/>
                <c:pt idx="0">
                  <c:v>meat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categories!$G$4:$G$16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categories!$K$4:$K$16</c:f>
              <c:numCache>
                <c:formatCode>#,##0</c:formatCode>
                <c:ptCount val="12"/>
                <c:pt idx="0">
                  <c:v>497817.89</c:v>
                </c:pt>
                <c:pt idx="1">
                  <c:v>459855.77</c:v>
                </c:pt>
                <c:pt idx="2">
                  <c:v>485116.08</c:v>
                </c:pt>
                <c:pt idx="3">
                  <c:v>479894.16</c:v>
                </c:pt>
                <c:pt idx="4">
                  <c:v>510342.7</c:v>
                </c:pt>
                <c:pt idx="5">
                  <c:v>777651.71</c:v>
                </c:pt>
                <c:pt idx="6">
                  <c:v>745595.04</c:v>
                </c:pt>
                <c:pt idx="7">
                  <c:v>749935.74</c:v>
                </c:pt>
                <c:pt idx="8">
                  <c:v>483004.38</c:v>
                </c:pt>
                <c:pt idx="9">
                  <c:v>523462.92</c:v>
                </c:pt>
                <c:pt idx="10">
                  <c:v>524743.57999999996</c:v>
                </c:pt>
                <c:pt idx="11">
                  <c:v>14814.94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13-4ED4-BE3C-3945D62BB57D}"/>
            </c:ext>
          </c:extLst>
        </c:ser>
        <c:ser>
          <c:idx val="4"/>
          <c:order val="4"/>
          <c:tx>
            <c:strRef>
              <c:f>categories!$L$2:$L$3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categories!$G$4:$G$16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categories!$L$4:$L$16</c:f>
              <c:numCache>
                <c:formatCode>#,##0</c:formatCode>
                <c:ptCount val="12"/>
                <c:pt idx="0">
                  <c:v>524735.88</c:v>
                </c:pt>
                <c:pt idx="1">
                  <c:v>526483.04</c:v>
                </c:pt>
                <c:pt idx="2">
                  <c:v>538837.06000000006</c:v>
                </c:pt>
                <c:pt idx="3">
                  <c:v>552962.88</c:v>
                </c:pt>
                <c:pt idx="4">
                  <c:v>530769.38</c:v>
                </c:pt>
                <c:pt idx="5">
                  <c:v>803697.36</c:v>
                </c:pt>
                <c:pt idx="6">
                  <c:v>821017.79</c:v>
                </c:pt>
                <c:pt idx="7">
                  <c:v>769490.97</c:v>
                </c:pt>
                <c:pt idx="8">
                  <c:v>519434.42</c:v>
                </c:pt>
                <c:pt idx="9">
                  <c:v>518082.14</c:v>
                </c:pt>
                <c:pt idx="10">
                  <c:v>500406.86</c:v>
                </c:pt>
                <c:pt idx="11">
                  <c:v>28003.95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13-4ED4-BE3C-3945D62BB57D}"/>
            </c:ext>
          </c:extLst>
        </c:ser>
        <c:ser>
          <c:idx val="5"/>
          <c:order val="5"/>
          <c:tx>
            <c:strRef>
              <c:f>categories!$M$2:$M$3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categories!$G$4:$G$16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categories!$M$4:$M$16</c:f>
              <c:numCache>
                <c:formatCode>#,##0</c:formatCode>
                <c:ptCount val="12"/>
                <c:pt idx="0">
                  <c:v>107726.83</c:v>
                </c:pt>
                <c:pt idx="1">
                  <c:v>101466.06</c:v>
                </c:pt>
                <c:pt idx="2">
                  <c:v>104250.18</c:v>
                </c:pt>
                <c:pt idx="3">
                  <c:v>106836.38</c:v>
                </c:pt>
                <c:pt idx="4">
                  <c:v>104640.7</c:v>
                </c:pt>
                <c:pt idx="5">
                  <c:v>158479.04999999999</c:v>
                </c:pt>
                <c:pt idx="6">
                  <c:v>163088.85</c:v>
                </c:pt>
                <c:pt idx="7">
                  <c:v>159297</c:v>
                </c:pt>
                <c:pt idx="8">
                  <c:v>106481.79</c:v>
                </c:pt>
                <c:pt idx="9">
                  <c:v>105348.95</c:v>
                </c:pt>
                <c:pt idx="10">
                  <c:v>101607.79</c:v>
                </c:pt>
                <c:pt idx="11">
                  <c:v>5019.21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13-4ED4-BE3C-3945D62BB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2665456"/>
        <c:axId val="1142665936"/>
      </c:barChart>
      <c:catAx>
        <c:axId val="114266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2665936"/>
        <c:crosses val="autoZero"/>
        <c:auto val="1"/>
        <c:lblAlgn val="ctr"/>
        <c:lblOffset val="100"/>
        <c:noMultiLvlLbl val="0"/>
      </c:catAx>
      <c:valAx>
        <c:axId val="114266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Выручка, руб.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266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3</xdr:row>
      <xdr:rowOff>0</xdr:rowOff>
    </xdr:from>
    <xdr:to>
      <xdr:col>10</xdr:col>
      <xdr:colOff>257175</xdr:colOff>
      <xdr:row>19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0C26B6-8FF4-1D58-0287-E0DC045757D4}"/>
            </a:ext>
          </a:extLst>
        </xdr:cNvPr>
        <xdr:cNvSpPr txBox="1"/>
      </xdr:nvSpPr>
      <xdr:spPr>
        <a:xfrm>
          <a:off x="219075" y="571500"/>
          <a:ext cx="7629525" cy="321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Анализируем</a:t>
          </a:r>
          <a:r>
            <a:rPr lang="ru-RU" sz="1100" baseline="0"/>
            <a:t> период с января по декабрь 2024 года.</a:t>
          </a:r>
        </a:p>
        <a:p>
          <a:r>
            <a:rPr lang="ru-RU" sz="1100" baseline="0"/>
            <a:t>Выручка за весь период составила почти 20, 3 млн.руб.</a:t>
          </a:r>
        </a:p>
        <a:p>
          <a:r>
            <a:rPr lang="ru-RU" sz="1100" baseline="0"/>
            <a:t>Средний чек - 1126,87 руб.</a:t>
          </a:r>
        </a:p>
        <a:p>
          <a:r>
            <a:rPr lang="ru-RU" sz="1100"/>
            <a:t>Количество заказов - 18 000</a:t>
          </a:r>
        </a:p>
        <a:p>
          <a:r>
            <a:rPr lang="ru-RU" sz="1100"/>
            <a:t>Количество уникальных клиентов - 2500 (из них активных на данный момент - 2133)</a:t>
          </a:r>
        </a:p>
        <a:p>
          <a:r>
            <a:rPr lang="ru-RU" sz="1100"/>
            <a:t>Доля новых пользователей (зарегистрировавшихся в последние 3 месяца) - 30% (среди активных пользователей).</a:t>
          </a:r>
        </a:p>
        <a:p>
          <a:endParaRPr lang="ru-RU" sz="1100"/>
        </a:p>
        <a:p>
          <a:r>
            <a:rPr lang="ru-RU" sz="1100"/>
            <a:t>Распеределение пользователей и выручки по каналам привлечения представлены на соответвующих листах:</a:t>
          </a:r>
        </a:p>
        <a:p>
          <a:r>
            <a:rPr lang="ru-RU" sz="1100"/>
            <a:t>	- </a:t>
          </a:r>
          <a:r>
            <a:rPr lang="en-US" sz="1100"/>
            <a:t>summary_cust</a:t>
          </a:r>
          <a:r>
            <a:rPr lang="ru-RU" sz="1100"/>
            <a:t> </a:t>
          </a:r>
        </a:p>
        <a:p>
          <a:r>
            <a:rPr lang="ru-RU" sz="1100"/>
            <a:t>	-</a:t>
          </a:r>
          <a:r>
            <a:rPr lang="ru-RU" sz="1100" baseline="0"/>
            <a:t> </a:t>
          </a:r>
          <a:r>
            <a:rPr lang="en-US" sz="1100"/>
            <a:t>summary_ord</a:t>
          </a:r>
          <a:endParaRPr lang="ru-RU" sz="1100"/>
        </a:p>
        <a:p>
          <a:endParaRPr lang="ru-RU" sz="1100"/>
        </a:p>
        <a:p>
          <a:r>
            <a:rPr lang="ru-RU" sz="1100"/>
            <a:t>Анализ динамики количества</a:t>
          </a:r>
          <a:r>
            <a:rPr lang="ru-RU" sz="1100" baseline="0"/>
            <a:t> клиентов, заказов, </a:t>
          </a:r>
          <a:r>
            <a:rPr lang="ru-RU" sz="1100"/>
            <a:t>выручки, среднего чека - на листе </a:t>
          </a:r>
          <a:r>
            <a:rPr lang="en-US" sz="1100"/>
            <a:t>summary_dyn</a:t>
          </a:r>
          <a:r>
            <a:rPr lang="ru-RU" sz="1100"/>
            <a:t>.</a:t>
          </a:r>
        </a:p>
        <a:p>
          <a:endParaRPr lang="ru-RU" sz="1100"/>
        </a:p>
        <a:p>
          <a:r>
            <a:rPr lang="ru-RU" sz="1100"/>
            <a:t>На листе </a:t>
          </a:r>
          <a:r>
            <a:rPr lang="en-US" sz="1100"/>
            <a:t>categories </a:t>
          </a:r>
          <a:r>
            <a:rPr lang="ru-RU" sz="1100"/>
            <a:t>представлен отчет о распределении выручки по категориям</a:t>
          </a:r>
          <a:r>
            <a:rPr lang="ru-RU" sz="1100" baseline="0"/>
            <a:t> продаваемых товаров. Основную долю в выручке приносят дорогие категории - </a:t>
          </a:r>
          <a:r>
            <a:rPr lang="en-US" sz="1100" baseline="0"/>
            <a:t>seafood </a:t>
          </a:r>
          <a:r>
            <a:rPr lang="ru-RU" sz="1100" baseline="0"/>
            <a:t>и </a:t>
          </a:r>
          <a:r>
            <a:rPr lang="en-US" sz="1100" baseline="0"/>
            <a:t>meat</a:t>
          </a:r>
          <a:r>
            <a:rPr lang="ru-RU" sz="1100" baseline="0"/>
            <a:t>.</a:t>
          </a:r>
          <a:endParaRPr lang="ru-RU" sz="1100"/>
        </a:p>
        <a:p>
          <a:endParaRPr lang="ru-RU" sz="1100"/>
        </a:p>
        <a:p>
          <a:r>
            <a:rPr lang="ru-RU" sz="1100"/>
            <a:t>На листе </a:t>
          </a:r>
          <a:r>
            <a:rPr lang="en-US" sz="1100"/>
            <a:t>anomalis - </a:t>
          </a:r>
          <a:r>
            <a:rPr lang="ru-RU" sz="1100"/>
            <a:t>информация</a:t>
          </a:r>
          <a:r>
            <a:rPr lang="ru-RU" sz="1100" baseline="0"/>
            <a:t> по заказам с подозрительными характеристиками.</a:t>
          </a: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11</xdr:row>
      <xdr:rowOff>180975</xdr:rowOff>
    </xdr:from>
    <xdr:to>
      <xdr:col>9</xdr:col>
      <xdr:colOff>371475</xdr:colOff>
      <xdr:row>14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65673E-3EE5-4A1D-4712-A3813625669E}"/>
            </a:ext>
          </a:extLst>
        </xdr:cNvPr>
        <xdr:cNvSpPr txBox="1"/>
      </xdr:nvSpPr>
      <xdr:spPr>
        <a:xfrm>
          <a:off x="295275" y="2276475"/>
          <a:ext cx="5562600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Ежемесячно</a:t>
          </a:r>
          <a:r>
            <a:rPr lang="ru-RU" sz="1100" baseline="0"/>
            <a:t> в сервисе регистируются в среднем 250 новых пользователей.</a:t>
          </a:r>
        </a:p>
        <a:p>
          <a:r>
            <a:rPr lang="ru-RU" sz="1100" baseline="0"/>
            <a:t>Наибольшую долю пользователей приносит канал </a:t>
          </a:r>
          <a:r>
            <a:rPr lang="en-US" sz="1100" baseline="0"/>
            <a:t>organic</a:t>
          </a:r>
          <a:r>
            <a:rPr lang="ru-RU" sz="1100" baseline="0"/>
            <a:t>, наименьшую - </a:t>
          </a:r>
          <a:r>
            <a:rPr lang="en-US" sz="1100" baseline="0"/>
            <a:t>paid.</a:t>
          </a:r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190499</xdr:rowOff>
    </xdr:from>
    <xdr:ext cx="3486151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858425-D4E8-B613-8C83-05DE0AD7173E}"/>
            </a:ext>
          </a:extLst>
        </xdr:cNvPr>
        <xdr:cNvSpPr txBox="1"/>
      </xdr:nvSpPr>
      <xdr:spPr>
        <a:xfrm>
          <a:off x="0" y="1142999"/>
          <a:ext cx="3486151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Соответственно</a:t>
          </a:r>
          <a:r>
            <a:rPr lang="ru-RU" sz="1100" baseline="0"/>
            <a:t> доле привлекаемых пользователей, наибольшую выоручку обеспечивает канал </a:t>
          </a:r>
          <a:r>
            <a:rPr lang="en-US" sz="1100" baseline="0"/>
            <a:t>organic</a:t>
          </a:r>
          <a:r>
            <a:rPr lang="ru-RU" sz="1100" baseline="0"/>
            <a:t>.</a:t>
          </a:r>
          <a:endParaRPr lang="ru-RU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17</xdr:row>
      <xdr:rowOff>23812</xdr:rowOff>
    </xdr:from>
    <xdr:to>
      <xdr:col>14</xdr:col>
      <xdr:colOff>295275</xdr:colOff>
      <xdr:row>31</xdr:row>
      <xdr:rowOff>100012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E95BB97-4090-495E-8A99-274BFDD46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</xdr:colOff>
      <xdr:row>0</xdr:row>
      <xdr:rowOff>161925</xdr:rowOff>
    </xdr:from>
    <xdr:to>
      <xdr:col>14</xdr:col>
      <xdr:colOff>309562</xdr:colOff>
      <xdr:row>15</xdr:row>
      <xdr:rowOff>47625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819AB5F-B812-4F46-86B5-A4E23F70D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</xdr:colOff>
      <xdr:row>0</xdr:row>
      <xdr:rowOff>138112</xdr:rowOff>
    </xdr:from>
    <xdr:to>
      <xdr:col>22</xdr:col>
      <xdr:colOff>309562</xdr:colOff>
      <xdr:row>15</xdr:row>
      <xdr:rowOff>23812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CCB88CB-4F86-4270-85B7-D73DD3E90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600075</xdr:colOff>
      <xdr:row>16</xdr:row>
      <xdr:rowOff>176212</xdr:rowOff>
    </xdr:from>
    <xdr:to>
      <xdr:col>22</xdr:col>
      <xdr:colOff>295275</xdr:colOff>
      <xdr:row>31</xdr:row>
      <xdr:rowOff>61912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877DB0B-E33F-454D-90CC-FC054D06F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180975</xdr:colOff>
      <xdr:row>14</xdr:row>
      <xdr:rowOff>104774</xdr:rowOff>
    </xdr:from>
    <xdr:to>
      <xdr:col>6</xdr:col>
      <xdr:colOff>552450</xdr:colOff>
      <xdr:row>33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5DC1C9-9274-F69C-F57D-32A21B4A3192}"/>
            </a:ext>
          </a:extLst>
        </xdr:cNvPr>
        <xdr:cNvSpPr txBox="1"/>
      </xdr:nvSpPr>
      <xdr:spPr>
        <a:xfrm>
          <a:off x="180975" y="2771774"/>
          <a:ext cx="4505325" cy="35814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В база даннвх присутствует информация за 12 месяцев 2024 года, однако слишком малые цифры за декабрь позволяют предположить,</a:t>
          </a:r>
          <a:r>
            <a:rPr lang="ru-RU" sz="1100" baseline="0"/>
            <a:t> что данные за этот месяц пока не полностью попали в нашу базу. Поэтому декабрь не анализируем.</a:t>
          </a:r>
        </a:p>
        <a:p>
          <a:endParaRPr lang="ru-RU" sz="1100" baseline="0"/>
        </a:p>
        <a:p>
          <a:r>
            <a:rPr lang="ru-RU" sz="1100" baseline="0"/>
            <a:t>Без учета декабря среднемесячное количество заказов - чуть менее 1550 и оно более или менее стабильно на протяжении всего периода, лишь в июле был небольшой всплеск: 1630 заказов;</a:t>
          </a:r>
        </a:p>
        <a:p>
          <a:endParaRPr lang="ru-RU" sz="1100" baseline="0"/>
        </a:p>
        <a:p>
          <a:r>
            <a:rPr lang="ru-RU" sz="1100"/>
            <a:t>Так же довольно</a:t>
          </a:r>
          <a:r>
            <a:rPr lang="ru-RU" sz="1100" baseline="0"/>
            <a:t> стабильно ежемесячное количество покупающих клиентов.</a:t>
          </a:r>
        </a:p>
        <a:p>
          <a:endParaRPr lang="ru-RU" sz="1100" baseline="0"/>
        </a:p>
        <a:p>
          <a:r>
            <a:rPr lang="ru-RU" sz="1100"/>
            <a:t>Среднемесячная выручка почти весь период держалась на уровне 1,5 млн. руб., лишь в летние месяцы</a:t>
          </a:r>
          <a:r>
            <a:rPr lang="ru-RU" sz="1100" baseline="0"/>
            <a:t> произошел ее заметный рост до 2,3 млн.руб. в месяц. Затем, однако, произошел откат на </a:t>
          </a:r>
        </a:p>
        <a:p>
          <a:r>
            <a:rPr lang="ru-RU" sz="1100" baseline="0"/>
            <a:t>прежний уровень.</a:t>
          </a:r>
        </a:p>
        <a:p>
          <a:endParaRPr lang="ru-RU" sz="1100" baseline="0"/>
        </a:p>
        <a:p>
          <a:r>
            <a:rPr lang="ru-RU" sz="1100" baseline="0"/>
            <a:t>Со средним чеком - та же картина: примерно потоянный уровень 990 руб. в месяц со взлетом до отметок 1400 - 1500 руб. в июне - августе.</a:t>
          </a:r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17</xdr:row>
      <xdr:rowOff>4762</xdr:rowOff>
    </xdr:from>
    <xdr:to>
      <xdr:col>13</xdr:col>
      <xdr:colOff>781050</xdr:colOff>
      <xdr:row>34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CB1866B-AC49-4D84-8267-02FF978DA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3</xdr:row>
      <xdr:rowOff>47625</xdr:rowOff>
    </xdr:from>
    <xdr:to>
      <xdr:col>4</xdr:col>
      <xdr:colOff>9525</xdr:colOff>
      <xdr:row>13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F1FB61-6D51-4E2F-3B67-B3C692963DFC}"/>
            </a:ext>
          </a:extLst>
        </xdr:cNvPr>
        <xdr:cNvSpPr txBox="1"/>
      </xdr:nvSpPr>
      <xdr:spPr>
        <a:xfrm>
          <a:off x="247650" y="619125"/>
          <a:ext cx="3781425" cy="1857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В ходе анализа были выявлены</a:t>
          </a:r>
          <a:r>
            <a:rPr lang="ru-RU" sz="1100" baseline="0"/>
            <a:t> заказы с подозрительными характеристиками:</a:t>
          </a:r>
        </a:p>
        <a:p>
          <a:endParaRPr lang="ru-RU" sz="1100" baseline="0"/>
        </a:p>
        <a:p>
          <a:r>
            <a:rPr lang="ru-RU" sz="1100" baseline="0"/>
            <a:t>1. Слишком большая сумма заказа (с суммой, выходящей за пределы межквартильного размаха). Таких заказов оказалось  307 - у них средний чек - чуть более 3500 руб., количество позиций в одном заказе - в среднем более 9.</a:t>
          </a:r>
        </a:p>
        <a:p>
          <a:endParaRPr lang="ru-RU" sz="1100" baseline="0"/>
        </a:p>
        <a:p>
          <a:r>
            <a:rPr lang="ru-RU" sz="1100" baseline="0"/>
            <a:t>2. Заказы с количеством позиций в одном заказе более 10 - таких оказалось 254.</a:t>
          </a:r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ere\Desktop\eCommerce\eda_report_1ver.xlsx" TargetMode="External"/><Relationship Id="rId1" Type="http://schemas.openxmlformats.org/officeDocument/2006/relationships/externalLinkPath" Target="eda_report_1v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cust"/>
      <sheetName val="summary_ord"/>
      <sheetName val="summary_dyn"/>
      <sheetName val="categories"/>
      <sheetName val="anomalies"/>
    </sheetNames>
    <sheetDataSet>
      <sheetData sheetId="0" refreshError="1"/>
      <sheetData sheetId="1" refreshError="1"/>
      <sheetData sheetId="2">
        <row r="1">
          <cell r="B1" t="str">
            <v>cnt_ord</v>
          </cell>
          <cell r="D1" t="str">
            <v>cnt_cust</v>
          </cell>
          <cell r="E1" t="str">
            <v>amount_mon</v>
          </cell>
          <cell r="F1" t="str">
            <v>avg_ord_amt</v>
          </cell>
        </row>
        <row r="2">
          <cell r="A2" t="str">
            <v>2024-01</v>
          </cell>
          <cell r="B2">
            <v>1574</v>
          </cell>
          <cell r="D2">
            <v>1197</v>
          </cell>
          <cell r="E2">
            <v>1546984.32</v>
          </cell>
          <cell r="F2">
            <v>982.83628970775101</v>
          </cell>
        </row>
        <row r="3">
          <cell r="A3" t="str">
            <v>2024-02</v>
          </cell>
          <cell r="B3">
            <v>1484</v>
          </cell>
          <cell r="D3">
            <v>1126</v>
          </cell>
          <cell r="E3">
            <v>1467448.89</v>
          </cell>
          <cell r="F3">
            <v>988.84696091644196</v>
          </cell>
        </row>
        <row r="4">
          <cell r="A4" t="str">
            <v>2024-03</v>
          </cell>
          <cell r="B4">
            <v>1547</v>
          </cell>
          <cell r="D4">
            <v>1150</v>
          </cell>
          <cell r="E4">
            <v>1536850.94</v>
          </cell>
          <cell r="F4">
            <v>993.43952165481574</v>
          </cell>
        </row>
        <row r="5">
          <cell r="A5" t="str">
            <v>2024-04</v>
          </cell>
          <cell r="B5">
            <v>1563</v>
          </cell>
          <cell r="D5">
            <v>1156</v>
          </cell>
          <cell r="E5">
            <v>1538195.31</v>
          </cell>
          <cell r="F5">
            <v>984.13007677543192</v>
          </cell>
        </row>
        <row r="6">
          <cell r="A6" t="str">
            <v>2024-05</v>
          </cell>
          <cell r="B6">
            <v>1564</v>
          </cell>
          <cell r="D6">
            <v>1154</v>
          </cell>
          <cell r="E6">
            <v>1547346.38</v>
          </cell>
          <cell r="F6">
            <v>989.35190537084395</v>
          </cell>
        </row>
        <row r="7">
          <cell r="A7" t="str">
            <v>2024-06</v>
          </cell>
          <cell r="B7">
            <v>1508</v>
          </cell>
          <cell r="D7">
            <v>1130</v>
          </cell>
          <cell r="E7">
            <v>2318353.31</v>
          </cell>
          <cell r="F7">
            <v>1537.3695689655169</v>
          </cell>
        </row>
        <row r="8">
          <cell r="A8" t="str">
            <v>2024-07</v>
          </cell>
          <cell r="B8">
            <v>1630</v>
          </cell>
          <cell r="D8">
            <v>1187</v>
          </cell>
          <cell r="E8">
            <v>2343497.17</v>
          </cell>
          <cell r="F8">
            <v>1437.728325153374</v>
          </cell>
        </row>
        <row r="9">
          <cell r="A9" t="str">
            <v>2024-08</v>
          </cell>
          <cell r="B9">
            <v>1533</v>
          </cell>
          <cell r="D9">
            <v>1159</v>
          </cell>
          <cell r="E9">
            <v>2255893.1800000002</v>
          </cell>
          <cell r="F9">
            <v>1471.5545857795171</v>
          </cell>
        </row>
        <row r="10">
          <cell r="A10" t="str">
            <v>2024-09</v>
          </cell>
          <cell r="B10">
            <v>1512</v>
          </cell>
          <cell r="D10">
            <v>1153</v>
          </cell>
          <cell r="E10">
            <v>1505711.24</v>
          </cell>
          <cell r="F10">
            <v>995.84076719576717</v>
          </cell>
        </row>
        <row r="11">
          <cell r="A11" t="str">
            <v>2024-10</v>
          </cell>
          <cell r="B11">
            <v>1568</v>
          </cell>
          <cell r="D11">
            <v>1191</v>
          </cell>
          <cell r="E11">
            <v>1556958.75</v>
          </cell>
          <cell r="F11">
            <v>992.95838647959181</v>
          </cell>
        </row>
        <row r="12">
          <cell r="A12" t="str">
            <v>2024-11</v>
          </cell>
          <cell r="B12">
            <v>1535</v>
          </cell>
          <cell r="D12">
            <v>1142</v>
          </cell>
          <cell r="E12">
            <v>1529727.03</v>
          </cell>
          <cell r="F12">
            <v>996.56484039087945</v>
          </cell>
        </row>
        <row r="13">
          <cell r="A13" t="str">
            <v>2024-12</v>
          </cell>
          <cell r="B13">
            <v>47</v>
          </cell>
          <cell r="D13">
            <v>47</v>
          </cell>
          <cell r="E13">
            <v>65748.259999999995</v>
          </cell>
          <cell r="F13">
            <v>1398.8991489361699</v>
          </cell>
        </row>
      </sheetData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da_report_1ver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il Cherezov" refreshedDate="46187.903656481481" createdVersion="8" refreshedVersion="8" minRefreshableVersion="3" recordCount="72" xr:uid="{1F62D3CF-E96F-4361-9FCE-3B3CD8A68EF3}">
  <cacheSource type="worksheet">
    <worksheetSource ref="A1:C73" sheet="categories" r:id="rId2"/>
  </cacheSource>
  <cacheFields count="3">
    <cacheField name="order_y_m" numFmtId="0">
      <sharedItems count="12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category" numFmtId="0">
      <sharedItems count="6">
        <s v="bakery"/>
        <s v="dairy"/>
        <s v="fruits"/>
        <s v="meat"/>
        <s v="seafood"/>
        <s v="vegetables"/>
      </sharedItems>
    </cacheField>
    <cacheField name="total_sum" numFmtId="3">
      <sharedItems containsSemiMixedTypes="0" containsString="0" containsNumber="1" minValue="2878.25" maxValue="821017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n v="92574.94"/>
  </r>
  <r>
    <x v="0"/>
    <x v="1"/>
    <n v="179918.59"/>
  </r>
  <r>
    <x v="0"/>
    <x v="2"/>
    <n v="144210.26"/>
  </r>
  <r>
    <x v="0"/>
    <x v="3"/>
    <n v="497817.89"/>
  </r>
  <r>
    <x v="0"/>
    <x v="4"/>
    <n v="524735.88"/>
  </r>
  <r>
    <x v="0"/>
    <x v="5"/>
    <n v="107726.83"/>
  </r>
  <r>
    <x v="1"/>
    <x v="0"/>
    <n v="82636.47"/>
  </r>
  <r>
    <x v="1"/>
    <x v="1"/>
    <n v="160999.59"/>
  </r>
  <r>
    <x v="1"/>
    <x v="2"/>
    <n v="136008.48000000001"/>
  </r>
  <r>
    <x v="1"/>
    <x v="3"/>
    <n v="459855.77"/>
  </r>
  <r>
    <x v="1"/>
    <x v="4"/>
    <n v="526483.04"/>
  </r>
  <r>
    <x v="1"/>
    <x v="5"/>
    <n v="101466.06"/>
  </r>
  <r>
    <x v="2"/>
    <x v="0"/>
    <n v="83147.839999999997"/>
  </r>
  <r>
    <x v="2"/>
    <x v="1"/>
    <n v="173399.3"/>
  </r>
  <r>
    <x v="2"/>
    <x v="2"/>
    <n v="152099.65"/>
  </r>
  <r>
    <x v="2"/>
    <x v="3"/>
    <n v="485116.08"/>
  </r>
  <r>
    <x v="2"/>
    <x v="4"/>
    <n v="538837.06000000006"/>
  </r>
  <r>
    <x v="2"/>
    <x v="5"/>
    <n v="104250.18"/>
  </r>
  <r>
    <x v="3"/>
    <x v="0"/>
    <n v="84080.52"/>
  </r>
  <r>
    <x v="3"/>
    <x v="1"/>
    <n v="171718.47"/>
  </r>
  <r>
    <x v="3"/>
    <x v="2"/>
    <n v="142702.38"/>
  </r>
  <r>
    <x v="3"/>
    <x v="3"/>
    <n v="479894.16"/>
  </r>
  <r>
    <x v="3"/>
    <x v="4"/>
    <n v="552962.88"/>
  </r>
  <r>
    <x v="3"/>
    <x v="5"/>
    <n v="106836.38"/>
  </r>
  <r>
    <x v="4"/>
    <x v="0"/>
    <n v="85419.99"/>
  </r>
  <r>
    <x v="4"/>
    <x v="1"/>
    <n v="168838.91"/>
  </r>
  <r>
    <x v="4"/>
    <x v="2"/>
    <n v="147334.21"/>
  </r>
  <r>
    <x v="4"/>
    <x v="3"/>
    <n v="510342.7"/>
  </r>
  <r>
    <x v="4"/>
    <x v="4"/>
    <n v="530769.38"/>
  </r>
  <r>
    <x v="4"/>
    <x v="5"/>
    <n v="104640.7"/>
  </r>
  <r>
    <x v="5"/>
    <x v="0"/>
    <n v="125515.74"/>
  </r>
  <r>
    <x v="5"/>
    <x v="1"/>
    <n v="240993.64"/>
  </r>
  <r>
    <x v="5"/>
    <x v="2"/>
    <n v="212015.32"/>
  </r>
  <r>
    <x v="5"/>
    <x v="3"/>
    <n v="777651.71"/>
  </r>
  <r>
    <x v="5"/>
    <x v="4"/>
    <n v="803697.36"/>
  </r>
  <r>
    <x v="5"/>
    <x v="5"/>
    <n v="158479.04999999999"/>
  </r>
  <r>
    <x v="6"/>
    <x v="0"/>
    <n v="130792.59"/>
  </r>
  <r>
    <x v="6"/>
    <x v="1"/>
    <n v="256427.56"/>
  </r>
  <r>
    <x v="6"/>
    <x v="2"/>
    <n v="226575.39"/>
  </r>
  <r>
    <x v="6"/>
    <x v="3"/>
    <n v="745595.04"/>
  </r>
  <r>
    <x v="6"/>
    <x v="4"/>
    <n v="821017.79"/>
  </r>
  <r>
    <x v="6"/>
    <x v="5"/>
    <n v="163088.85"/>
  </r>
  <r>
    <x v="7"/>
    <x v="0"/>
    <n v="127155.21"/>
  </r>
  <r>
    <x v="7"/>
    <x v="1"/>
    <n v="251918.96"/>
  </r>
  <r>
    <x v="7"/>
    <x v="2"/>
    <n v="198095.52"/>
  </r>
  <r>
    <x v="7"/>
    <x v="3"/>
    <n v="749935.74"/>
  </r>
  <r>
    <x v="7"/>
    <x v="4"/>
    <n v="769490.97"/>
  </r>
  <r>
    <x v="7"/>
    <x v="5"/>
    <n v="159297"/>
  </r>
  <r>
    <x v="8"/>
    <x v="0"/>
    <n v="84306.04"/>
  </r>
  <r>
    <x v="8"/>
    <x v="1"/>
    <n v="172173.9"/>
  </r>
  <r>
    <x v="8"/>
    <x v="2"/>
    <n v="140310.64000000001"/>
  </r>
  <r>
    <x v="8"/>
    <x v="3"/>
    <n v="483004.38"/>
  </r>
  <r>
    <x v="8"/>
    <x v="4"/>
    <n v="519434.42"/>
  </r>
  <r>
    <x v="8"/>
    <x v="5"/>
    <n v="106481.79"/>
  </r>
  <r>
    <x v="9"/>
    <x v="0"/>
    <n v="90807.46"/>
  </r>
  <r>
    <x v="9"/>
    <x v="1"/>
    <n v="183630.92"/>
  </r>
  <r>
    <x v="9"/>
    <x v="2"/>
    <n v="135626.19"/>
  </r>
  <r>
    <x v="9"/>
    <x v="3"/>
    <n v="523462.92"/>
  </r>
  <r>
    <x v="9"/>
    <x v="4"/>
    <n v="518082.14"/>
  </r>
  <r>
    <x v="9"/>
    <x v="5"/>
    <n v="105348.95"/>
  </r>
  <r>
    <x v="10"/>
    <x v="0"/>
    <n v="84779.38"/>
  </r>
  <r>
    <x v="10"/>
    <x v="1"/>
    <n v="175313.77"/>
  </r>
  <r>
    <x v="10"/>
    <x v="2"/>
    <n v="142875.43"/>
  </r>
  <r>
    <x v="10"/>
    <x v="3"/>
    <n v="524743.57999999996"/>
  </r>
  <r>
    <x v="10"/>
    <x v="4"/>
    <n v="500406.86"/>
  </r>
  <r>
    <x v="10"/>
    <x v="5"/>
    <n v="101607.79"/>
  </r>
  <r>
    <x v="11"/>
    <x v="0"/>
    <n v="2878.25"/>
  </r>
  <r>
    <x v="11"/>
    <x v="1"/>
    <n v="8369.27"/>
  </r>
  <r>
    <x v="11"/>
    <x v="2"/>
    <n v="6662.6"/>
  </r>
  <r>
    <x v="11"/>
    <x v="3"/>
    <n v="14814.94"/>
  </r>
  <r>
    <x v="11"/>
    <x v="4"/>
    <n v="28003.95"/>
  </r>
  <r>
    <x v="11"/>
    <x v="5"/>
    <n v="5019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D27A7-5D9D-4926-974C-0899FC86DC5B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4">
  <location ref="G2:N16" firstHeaderRow="1" firstDataRow="2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numFmtId="3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total_sum" fld="2" baseField="0" baseItem="0" numFmtId="3"/>
  </dataFields>
  <chartFormats count="12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3" sqref="A23"/>
    </sheetView>
  </sheetViews>
  <sheetFormatPr defaultRowHeight="15" x14ac:dyDescent="0.25"/>
  <cols>
    <col min="1" max="1" width="8.42578125" bestFit="1" customWidth="1"/>
    <col min="2" max="2" width="8.140625" bestFit="1" customWidth="1"/>
    <col min="3" max="3" width="10.7109375" bestFit="1" customWidth="1"/>
    <col min="4" max="4" width="12" bestFit="1" customWidth="1"/>
    <col min="5" max="5" width="12.7109375" bestFit="1" customWidth="1"/>
    <col min="6" max="6" width="7.7109375" bestFit="1" customWidth="1"/>
    <col min="7" max="7" width="18.28515625" bestFit="1" customWidth="1"/>
    <col min="8" max="8" width="17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2500</v>
      </c>
      <c r="B2">
        <v>2133</v>
      </c>
      <c r="C2">
        <v>0.3</v>
      </c>
      <c r="D2">
        <v>20283734.23</v>
      </c>
      <c r="E2">
        <v>1126.8699999999999</v>
      </c>
      <c r="F2">
        <v>18000</v>
      </c>
      <c r="G2">
        <v>4.5999999999999996</v>
      </c>
      <c r="H2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98C4-4987-45EF-9CF0-47BE3ED6C779}">
  <dimension ref="A1:J11"/>
  <sheetViews>
    <sheetView workbookViewId="0">
      <selection activeCell="F2" sqref="F2:F11"/>
    </sheetView>
  </sheetViews>
  <sheetFormatPr defaultRowHeight="15" x14ac:dyDescent="0.25"/>
  <sheetData>
    <row r="1" spans="1:10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x14ac:dyDescent="0.25">
      <c r="A2" t="s">
        <v>14</v>
      </c>
      <c r="B2">
        <v>83</v>
      </c>
      <c r="C2">
        <v>38</v>
      </c>
      <c r="D2">
        <v>44</v>
      </c>
      <c r="E2">
        <v>68</v>
      </c>
      <c r="F2">
        <v>233</v>
      </c>
      <c r="G2" s="2">
        <f>B2/$F2</f>
        <v>0.35622317596566522</v>
      </c>
      <c r="H2" s="2">
        <f t="shared" ref="H2:J11" si="0">C2/$F2</f>
        <v>0.1630901287553648</v>
      </c>
      <c r="I2" s="2">
        <f t="shared" si="0"/>
        <v>0.18884120171673821</v>
      </c>
      <c r="J2" s="2">
        <f t="shared" si="0"/>
        <v>0.29184549356223177</v>
      </c>
    </row>
    <row r="3" spans="1:10" x14ac:dyDescent="0.25">
      <c r="A3" t="s">
        <v>15</v>
      </c>
      <c r="B3">
        <v>110</v>
      </c>
      <c r="C3">
        <v>33</v>
      </c>
      <c r="D3">
        <v>49</v>
      </c>
      <c r="E3">
        <v>56</v>
      </c>
      <c r="F3">
        <v>248</v>
      </c>
      <c r="G3" s="2">
        <f t="shared" ref="G3:G11" si="1">B3/$F3</f>
        <v>0.44354838709677419</v>
      </c>
      <c r="H3" s="2">
        <f t="shared" si="0"/>
        <v>0.13306451612903225</v>
      </c>
      <c r="I3" s="2">
        <f t="shared" si="0"/>
        <v>0.19758064516129031</v>
      </c>
      <c r="J3" s="2">
        <f t="shared" si="0"/>
        <v>0.22580645161290322</v>
      </c>
    </row>
    <row r="4" spans="1:10" x14ac:dyDescent="0.25">
      <c r="A4" t="s">
        <v>16</v>
      </c>
      <c r="B4">
        <v>110</v>
      </c>
      <c r="C4">
        <v>52</v>
      </c>
      <c r="D4">
        <v>55</v>
      </c>
      <c r="E4">
        <v>63</v>
      </c>
      <c r="F4">
        <v>280</v>
      </c>
      <c r="G4" s="2">
        <f t="shared" si="1"/>
        <v>0.39285714285714285</v>
      </c>
      <c r="H4" s="2">
        <f t="shared" si="0"/>
        <v>0.18571428571428572</v>
      </c>
      <c r="I4" s="2">
        <f t="shared" si="0"/>
        <v>0.19642857142857142</v>
      </c>
      <c r="J4" s="2">
        <f t="shared" si="0"/>
        <v>0.22500000000000001</v>
      </c>
    </row>
    <row r="5" spans="1:10" x14ac:dyDescent="0.25">
      <c r="A5" t="s">
        <v>17</v>
      </c>
      <c r="B5">
        <v>98</v>
      </c>
      <c r="C5">
        <v>34</v>
      </c>
      <c r="D5">
        <v>40</v>
      </c>
      <c r="E5">
        <v>51</v>
      </c>
      <c r="F5">
        <v>223</v>
      </c>
      <c r="G5" s="2">
        <f t="shared" si="1"/>
        <v>0.43946188340807174</v>
      </c>
      <c r="H5" s="2">
        <f t="shared" si="0"/>
        <v>0.15246636771300448</v>
      </c>
      <c r="I5" s="2">
        <f t="shared" si="0"/>
        <v>0.17937219730941703</v>
      </c>
      <c r="J5" s="2">
        <f t="shared" si="0"/>
        <v>0.22869955156950672</v>
      </c>
    </row>
    <row r="6" spans="1:10" x14ac:dyDescent="0.25">
      <c r="A6" t="s">
        <v>18</v>
      </c>
      <c r="B6">
        <v>108</v>
      </c>
      <c r="C6">
        <v>26</v>
      </c>
      <c r="D6">
        <v>53</v>
      </c>
      <c r="E6">
        <v>58</v>
      </c>
      <c r="F6">
        <v>245</v>
      </c>
      <c r="G6" s="2">
        <f t="shared" si="1"/>
        <v>0.44081632653061226</v>
      </c>
      <c r="H6" s="2">
        <f t="shared" si="0"/>
        <v>0.10612244897959183</v>
      </c>
      <c r="I6" s="2">
        <f t="shared" si="0"/>
        <v>0.21632653061224491</v>
      </c>
      <c r="J6" s="2">
        <f t="shared" si="0"/>
        <v>0.23673469387755103</v>
      </c>
    </row>
    <row r="7" spans="1:10" x14ac:dyDescent="0.25">
      <c r="A7" t="s">
        <v>19</v>
      </c>
      <c r="B7">
        <v>106</v>
      </c>
      <c r="C7">
        <v>36</v>
      </c>
      <c r="D7">
        <v>51</v>
      </c>
      <c r="E7">
        <v>63</v>
      </c>
      <c r="F7">
        <v>256</v>
      </c>
      <c r="G7" s="2">
        <f t="shared" si="1"/>
        <v>0.4140625</v>
      </c>
      <c r="H7" s="2">
        <f t="shared" si="0"/>
        <v>0.140625</v>
      </c>
      <c r="I7" s="2">
        <f t="shared" si="0"/>
        <v>0.19921875</v>
      </c>
      <c r="J7" s="2">
        <f t="shared" si="0"/>
        <v>0.24609375</v>
      </c>
    </row>
    <row r="8" spans="1:10" x14ac:dyDescent="0.25">
      <c r="A8" t="s">
        <v>20</v>
      </c>
      <c r="B8">
        <v>91</v>
      </c>
      <c r="C8">
        <v>38</v>
      </c>
      <c r="D8">
        <v>45</v>
      </c>
      <c r="E8">
        <v>64</v>
      </c>
      <c r="F8">
        <v>238</v>
      </c>
      <c r="G8" s="2">
        <f t="shared" si="1"/>
        <v>0.38235294117647056</v>
      </c>
      <c r="H8" s="2">
        <f t="shared" si="0"/>
        <v>0.15966386554621848</v>
      </c>
      <c r="I8" s="2">
        <f t="shared" si="0"/>
        <v>0.18907563025210083</v>
      </c>
      <c r="J8" s="2">
        <f t="shared" si="0"/>
        <v>0.26890756302521007</v>
      </c>
    </row>
    <row r="9" spans="1:10" x14ac:dyDescent="0.25">
      <c r="A9" t="s">
        <v>21</v>
      </c>
      <c r="B9">
        <v>117</v>
      </c>
      <c r="C9">
        <v>46</v>
      </c>
      <c r="D9">
        <v>60</v>
      </c>
      <c r="E9">
        <v>60</v>
      </c>
      <c r="F9">
        <v>283</v>
      </c>
      <c r="G9" s="2">
        <f t="shared" si="1"/>
        <v>0.41342756183745583</v>
      </c>
      <c r="H9" s="2">
        <f t="shared" si="0"/>
        <v>0.16254416961130741</v>
      </c>
      <c r="I9" s="2">
        <f t="shared" si="0"/>
        <v>0.21201413427561838</v>
      </c>
      <c r="J9" s="2">
        <f t="shared" si="0"/>
        <v>0.21201413427561838</v>
      </c>
    </row>
    <row r="10" spans="1:10" x14ac:dyDescent="0.25">
      <c r="A10" t="s">
        <v>22</v>
      </c>
      <c r="B10">
        <v>107</v>
      </c>
      <c r="C10">
        <v>43</v>
      </c>
      <c r="D10">
        <v>50</v>
      </c>
      <c r="E10">
        <v>60</v>
      </c>
      <c r="F10">
        <v>260</v>
      </c>
      <c r="G10" s="2">
        <f t="shared" si="1"/>
        <v>0.41153846153846152</v>
      </c>
      <c r="H10" s="2">
        <f t="shared" si="0"/>
        <v>0.16538461538461538</v>
      </c>
      <c r="I10" s="2">
        <f t="shared" si="0"/>
        <v>0.19230769230769232</v>
      </c>
      <c r="J10" s="2">
        <f t="shared" si="0"/>
        <v>0.23076923076923078</v>
      </c>
    </row>
    <row r="11" spans="1:10" x14ac:dyDescent="0.25">
      <c r="A11" t="s">
        <v>23</v>
      </c>
      <c r="B11">
        <v>95</v>
      </c>
      <c r="C11">
        <v>32</v>
      </c>
      <c r="D11">
        <v>46</v>
      </c>
      <c r="E11">
        <v>61</v>
      </c>
      <c r="F11">
        <v>234</v>
      </c>
      <c r="G11" s="2">
        <f t="shared" si="1"/>
        <v>0.40598290598290598</v>
      </c>
      <c r="H11" s="2">
        <f t="shared" si="0"/>
        <v>0.13675213675213677</v>
      </c>
      <c r="I11" s="2">
        <f t="shared" si="0"/>
        <v>0.19658119658119658</v>
      </c>
      <c r="J11" s="2">
        <f t="shared" si="0"/>
        <v>0.2606837606837607</v>
      </c>
    </row>
  </sheetData>
  <conditionalFormatting sqref="G2:J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3E36-0EE0-4539-A71E-D7007EB52B07}">
  <dimension ref="A1:C5"/>
  <sheetViews>
    <sheetView workbookViewId="0">
      <selection activeCell="B12" sqref="B12:B13"/>
    </sheetView>
  </sheetViews>
  <sheetFormatPr defaultRowHeight="15" x14ac:dyDescent="0.25"/>
  <cols>
    <col min="1" max="1" width="19" bestFit="1" customWidth="1"/>
    <col min="2" max="2" width="13.140625" bestFit="1" customWidth="1"/>
  </cols>
  <sheetData>
    <row r="1" spans="1:3" x14ac:dyDescent="0.25">
      <c r="A1" s="1" t="s">
        <v>24</v>
      </c>
      <c r="B1" s="1" t="s">
        <v>25</v>
      </c>
      <c r="C1" t="s">
        <v>50</v>
      </c>
    </row>
    <row r="2" spans="1:3" x14ac:dyDescent="0.25">
      <c r="A2" t="s">
        <v>9</v>
      </c>
      <c r="B2" s="3">
        <v>8346684.6500000004</v>
      </c>
      <c r="C2" s="4">
        <f>B2/SUM($B$2:$B$5)</f>
        <v>0.41149640501393814</v>
      </c>
    </row>
    <row r="3" spans="1:3" x14ac:dyDescent="0.25">
      <c r="A3" t="s">
        <v>10</v>
      </c>
      <c r="B3" s="3">
        <v>3097211.05</v>
      </c>
      <c r="C3" s="4">
        <f t="shared" ref="C3:C5" si="0">B3/SUM($B$2:$B$5)</f>
        <v>0.15269430511483917</v>
      </c>
    </row>
    <row r="4" spans="1:3" x14ac:dyDescent="0.25">
      <c r="A4" t="s">
        <v>11</v>
      </c>
      <c r="B4" s="3">
        <v>3972821.12</v>
      </c>
      <c r="C4" s="4">
        <f t="shared" si="0"/>
        <v>0.1958623905413088</v>
      </c>
    </row>
    <row r="5" spans="1:3" x14ac:dyDescent="0.25">
      <c r="A5" t="s">
        <v>12</v>
      </c>
      <c r="B5" s="3">
        <v>4867019.68</v>
      </c>
      <c r="C5" s="4">
        <f t="shared" si="0"/>
        <v>0.23994689932991389</v>
      </c>
    </row>
  </sheetData>
  <conditionalFormatting sqref="B2: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8D80-C4E5-40A6-B953-21B2AB983C43}">
  <dimension ref="A1:F13"/>
  <sheetViews>
    <sheetView topLeftCell="A4" workbookViewId="0">
      <selection activeCell="I34" sqref="I34"/>
    </sheetView>
  </sheetViews>
  <sheetFormatPr defaultRowHeight="15" x14ac:dyDescent="0.25"/>
  <cols>
    <col min="1" max="1" width="8.7109375" bestFit="1" customWidth="1"/>
    <col min="2" max="2" width="7.7109375" bestFit="1" customWidth="1"/>
    <col min="3" max="3" width="12" bestFit="1" customWidth="1"/>
    <col min="4" max="4" width="8.28515625" bestFit="1" customWidth="1"/>
    <col min="5" max="5" width="12.85546875" bestFit="1" customWidth="1"/>
    <col min="6" max="6" width="12.42578125" bestFit="1" customWidth="1"/>
  </cols>
  <sheetData>
    <row r="1" spans="1:6" x14ac:dyDescent="0.25">
      <c r="A1" s="1" t="s">
        <v>26</v>
      </c>
      <c r="B1" s="1" t="s">
        <v>5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t="s">
        <v>14</v>
      </c>
      <c r="B2">
        <v>1574</v>
      </c>
      <c r="C2" s="5">
        <v>4.0362134688691231</v>
      </c>
      <c r="D2">
        <v>1197</v>
      </c>
      <c r="E2" s="6">
        <v>1546984.32</v>
      </c>
      <c r="F2" s="6">
        <v>982.83628970775101</v>
      </c>
    </row>
    <row r="3" spans="1:6" x14ac:dyDescent="0.25">
      <c r="A3" t="s">
        <v>15</v>
      </c>
      <c r="B3">
        <v>1484</v>
      </c>
      <c r="C3" s="5">
        <v>4.0026954177897576</v>
      </c>
      <c r="D3">
        <v>1126</v>
      </c>
      <c r="E3" s="6">
        <v>1467448.89</v>
      </c>
      <c r="F3" s="6">
        <v>988.84696091644196</v>
      </c>
    </row>
    <row r="4" spans="1:6" x14ac:dyDescent="0.25">
      <c r="A4" t="s">
        <v>16</v>
      </c>
      <c r="B4">
        <v>1547</v>
      </c>
      <c r="C4" s="5">
        <v>4.0277957336780874</v>
      </c>
      <c r="D4">
        <v>1150</v>
      </c>
      <c r="E4" s="6">
        <v>1536850.94</v>
      </c>
      <c r="F4" s="6">
        <v>993.43952165481574</v>
      </c>
    </row>
    <row r="5" spans="1:6" x14ac:dyDescent="0.25">
      <c r="A5" t="s">
        <v>17</v>
      </c>
      <c r="B5">
        <v>1563</v>
      </c>
      <c r="C5" s="5">
        <v>3.9942418426103652</v>
      </c>
      <c r="D5">
        <v>1156</v>
      </c>
      <c r="E5" s="6">
        <v>1538195.31</v>
      </c>
      <c r="F5" s="6">
        <v>984.13007677543192</v>
      </c>
    </row>
    <row r="6" spans="1:6" x14ac:dyDescent="0.25">
      <c r="A6" t="s">
        <v>18</v>
      </c>
      <c r="B6">
        <v>1564</v>
      </c>
      <c r="C6" s="5">
        <v>4.000639386189258</v>
      </c>
      <c r="D6">
        <v>1154</v>
      </c>
      <c r="E6" s="6">
        <v>1547346.38</v>
      </c>
      <c r="F6" s="6">
        <v>989.35190537084395</v>
      </c>
    </row>
    <row r="7" spans="1:6" x14ac:dyDescent="0.25">
      <c r="A7" t="s">
        <v>19</v>
      </c>
      <c r="B7">
        <v>1508</v>
      </c>
      <c r="C7" s="5">
        <v>6.1306366047745362</v>
      </c>
      <c r="D7">
        <v>1130</v>
      </c>
      <c r="E7" s="6">
        <v>2318353.31</v>
      </c>
      <c r="F7" s="6">
        <v>1537.3695689655169</v>
      </c>
    </row>
    <row r="8" spans="1:6" x14ac:dyDescent="0.25">
      <c r="A8" t="s">
        <v>20</v>
      </c>
      <c r="B8">
        <v>1630</v>
      </c>
      <c r="C8" s="5">
        <v>5.9288343558282213</v>
      </c>
      <c r="D8">
        <v>1187</v>
      </c>
      <c r="E8" s="6">
        <v>2343497.17</v>
      </c>
      <c r="F8" s="6">
        <v>1437.728325153374</v>
      </c>
    </row>
    <row r="9" spans="1:6" x14ac:dyDescent="0.25">
      <c r="A9" t="s">
        <v>21</v>
      </c>
      <c r="B9">
        <v>1533</v>
      </c>
      <c r="C9" s="5">
        <v>5.9960861056751469</v>
      </c>
      <c r="D9">
        <v>1159</v>
      </c>
      <c r="E9" s="6">
        <v>2255893.1800000002</v>
      </c>
      <c r="F9" s="6">
        <v>1471.5545857795171</v>
      </c>
    </row>
    <row r="10" spans="1:6" x14ac:dyDescent="0.25">
      <c r="A10" t="s">
        <v>22</v>
      </c>
      <c r="B10">
        <v>1512</v>
      </c>
      <c r="C10" s="5">
        <v>4.0330687830687832</v>
      </c>
      <c r="D10">
        <v>1153</v>
      </c>
      <c r="E10" s="6">
        <v>1505711.24</v>
      </c>
      <c r="F10" s="6">
        <v>995.84076719576717</v>
      </c>
    </row>
    <row r="11" spans="1:6" x14ac:dyDescent="0.25">
      <c r="A11" t="s">
        <v>23</v>
      </c>
      <c r="B11">
        <v>1568</v>
      </c>
      <c r="C11" s="5">
        <v>4.0051020408163263</v>
      </c>
      <c r="D11">
        <v>1191</v>
      </c>
      <c r="E11" s="6">
        <v>1556958.75</v>
      </c>
      <c r="F11" s="6">
        <v>992.95838647959181</v>
      </c>
    </row>
    <row r="12" spans="1:6" x14ac:dyDescent="0.25">
      <c r="A12" t="s">
        <v>31</v>
      </c>
      <c r="B12">
        <v>1535</v>
      </c>
      <c r="C12" s="5">
        <v>4.0436482084690546</v>
      </c>
      <c r="D12">
        <v>1142</v>
      </c>
      <c r="E12" s="6">
        <v>1529727.03</v>
      </c>
      <c r="F12" s="6">
        <v>996.56484039087945</v>
      </c>
    </row>
    <row r="13" spans="1:6" x14ac:dyDescent="0.25">
      <c r="A13" t="s">
        <v>32</v>
      </c>
      <c r="B13">
        <v>47</v>
      </c>
      <c r="C13" s="5">
        <v>5.7446808510638299</v>
      </c>
      <c r="D13">
        <v>47</v>
      </c>
      <c r="E13" s="6">
        <v>65748.259999999995</v>
      </c>
      <c r="F13" s="6">
        <v>1398.8991489361699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ED17-CA70-46C9-8929-9106FC691695}">
  <dimension ref="A1:N73"/>
  <sheetViews>
    <sheetView topLeftCell="A7" workbookViewId="0">
      <selection activeCell="E18" sqref="E18"/>
    </sheetView>
  </sheetViews>
  <sheetFormatPr defaultRowHeight="15" x14ac:dyDescent="0.25"/>
  <cols>
    <col min="1" max="1" width="10.5703125" bestFit="1" customWidth="1"/>
    <col min="2" max="2" width="10.7109375" bestFit="1" customWidth="1"/>
    <col min="3" max="3" width="10" bestFit="1" customWidth="1"/>
    <col min="7" max="7" width="25.140625" bestFit="1" customWidth="1"/>
    <col min="8" max="8" width="20.85546875" bestFit="1" customWidth="1"/>
    <col min="9" max="12" width="8.85546875" bestFit="1" customWidth="1"/>
    <col min="13" max="13" width="10.7109375" bestFit="1" customWidth="1"/>
    <col min="14" max="14" width="11.85546875" bestFit="1" customWidth="1"/>
  </cols>
  <sheetData>
    <row r="1" spans="1:14" x14ac:dyDescent="0.25">
      <c r="A1" s="1" t="s">
        <v>33</v>
      </c>
      <c r="B1" s="1" t="s">
        <v>34</v>
      </c>
      <c r="C1" s="1" t="s">
        <v>35</v>
      </c>
    </row>
    <row r="2" spans="1:14" x14ac:dyDescent="0.25">
      <c r="A2" t="s">
        <v>14</v>
      </c>
      <c r="B2" t="s">
        <v>36</v>
      </c>
      <c r="C2" s="6">
        <v>92574.94</v>
      </c>
      <c r="G2" t="s">
        <v>51</v>
      </c>
      <c r="H2" t="s">
        <v>52</v>
      </c>
    </row>
    <row r="3" spans="1:14" x14ac:dyDescent="0.25">
      <c r="A3" t="s">
        <v>14</v>
      </c>
      <c r="B3" t="s">
        <v>37</v>
      </c>
      <c r="C3" s="6">
        <v>179918.59</v>
      </c>
      <c r="G3" t="s">
        <v>53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54</v>
      </c>
    </row>
    <row r="4" spans="1:14" x14ac:dyDescent="0.25">
      <c r="A4" t="s">
        <v>14</v>
      </c>
      <c r="B4" t="s">
        <v>38</v>
      </c>
      <c r="C4" s="6">
        <v>144210.26</v>
      </c>
      <c r="G4" s="7" t="s">
        <v>14</v>
      </c>
      <c r="H4" s="6">
        <v>92574.94</v>
      </c>
      <c r="I4" s="6">
        <v>179918.59</v>
      </c>
      <c r="J4" s="6">
        <v>144210.26</v>
      </c>
      <c r="K4" s="6">
        <v>497817.89</v>
      </c>
      <c r="L4" s="6">
        <v>524735.88</v>
      </c>
      <c r="M4" s="6">
        <v>107726.83</v>
      </c>
      <c r="N4" s="6">
        <v>1546984.3900000001</v>
      </c>
    </row>
    <row r="5" spans="1:14" x14ac:dyDescent="0.25">
      <c r="A5" t="s">
        <v>14</v>
      </c>
      <c r="B5" t="s">
        <v>39</v>
      </c>
      <c r="C5" s="6">
        <v>497817.89</v>
      </c>
      <c r="G5" s="7" t="s">
        <v>15</v>
      </c>
      <c r="H5" s="6">
        <v>82636.47</v>
      </c>
      <c r="I5" s="6">
        <v>160999.59</v>
      </c>
      <c r="J5" s="6">
        <v>136008.48000000001</v>
      </c>
      <c r="K5" s="6">
        <v>459855.77</v>
      </c>
      <c r="L5" s="6">
        <v>526483.04</v>
      </c>
      <c r="M5" s="6">
        <v>101466.06</v>
      </c>
      <c r="N5" s="6">
        <v>1467449.4100000001</v>
      </c>
    </row>
    <row r="6" spans="1:14" x14ac:dyDescent="0.25">
      <c r="A6" t="s">
        <v>14</v>
      </c>
      <c r="B6" t="s">
        <v>40</v>
      </c>
      <c r="C6" s="6">
        <v>524735.88</v>
      </c>
      <c r="G6" s="7" t="s">
        <v>16</v>
      </c>
      <c r="H6" s="6">
        <v>83147.839999999997</v>
      </c>
      <c r="I6" s="6">
        <v>173399.3</v>
      </c>
      <c r="J6" s="6">
        <v>152099.65</v>
      </c>
      <c r="K6" s="6">
        <v>485116.08</v>
      </c>
      <c r="L6" s="6">
        <v>538837.06000000006</v>
      </c>
      <c r="M6" s="6">
        <v>104250.18</v>
      </c>
      <c r="N6" s="6">
        <v>1536850.11</v>
      </c>
    </row>
    <row r="7" spans="1:14" x14ac:dyDescent="0.25">
      <c r="A7" t="s">
        <v>14</v>
      </c>
      <c r="B7" t="s">
        <v>41</v>
      </c>
      <c r="C7" s="6">
        <v>107726.83</v>
      </c>
      <c r="G7" s="7" t="s">
        <v>17</v>
      </c>
      <c r="H7" s="6">
        <v>84080.52</v>
      </c>
      <c r="I7" s="6">
        <v>171718.47</v>
      </c>
      <c r="J7" s="6">
        <v>142702.38</v>
      </c>
      <c r="K7" s="6">
        <v>479894.16</v>
      </c>
      <c r="L7" s="6">
        <v>552962.88</v>
      </c>
      <c r="M7" s="6">
        <v>106836.38</v>
      </c>
      <c r="N7" s="6">
        <v>1538194.79</v>
      </c>
    </row>
    <row r="8" spans="1:14" x14ac:dyDescent="0.25">
      <c r="A8" t="s">
        <v>15</v>
      </c>
      <c r="B8" t="s">
        <v>36</v>
      </c>
      <c r="C8" s="6">
        <v>82636.47</v>
      </c>
      <c r="G8" s="7" t="s">
        <v>18</v>
      </c>
      <c r="H8" s="6">
        <v>85419.99</v>
      </c>
      <c r="I8" s="6">
        <v>168838.91</v>
      </c>
      <c r="J8" s="6">
        <v>147334.21</v>
      </c>
      <c r="K8" s="6">
        <v>510342.7</v>
      </c>
      <c r="L8" s="6">
        <v>530769.38</v>
      </c>
      <c r="M8" s="6">
        <v>104640.7</v>
      </c>
      <c r="N8" s="6">
        <v>1547345.89</v>
      </c>
    </row>
    <row r="9" spans="1:14" x14ac:dyDescent="0.25">
      <c r="A9" t="s">
        <v>15</v>
      </c>
      <c r="B9" t="s">
        <v>37</v>
      </c>
      <c r="C9" s="6">
        <v>160999.59</v>
      </c>
      <c r="G9" s="7" t="s">
        <v>19</v>
      </c>
      <c r="H9" s="6">
        <v>125515.74</v>
      </c>
      <c r="I9" s="6">
        <v>240993.64</v>
      </c>
      <c r="J9" s="6">
        <v>212015.32</v>
      </c>
      <c r="K9" s="6">
        <v>777651.71</v>
      </c>
      <c r="L9" s="6">
        <v>803697.36</v>
      </c>
      <c r="M9" s="6">
        <v>158479.04999999999</v>
      </c>
      <c r="N9" s="6">
        <v>2318352.8199999998</v>
      </c>
    </row>
    <row r="10" spans="1:14" x14ac:dyDescent="0.25">
      <c r="A10" t="s">
        <v>15</v>
      </c>
      <c r="B10" t="s">
        <v>38</v>
      </c>
      <c r="C10" s="6">
        <v>136008.48000000001</v>
      </c>
      <c r="G10" s="7" t="s">
        <v>20</v>
      </c>
      <c r="H10" s="6">
        <v>130792.59</v>
      </c>
      <c r="I10" s="6">
        <v>256427.56</v>
      </c>
      <c r="J10" s="6">
        <v>226575.39</v>
      </c>
      <c r="K10" s="6">
        <v>745595.04</v>
      </c>
      <c r="L10" s="6">
        <v>821017.79</v>
      </c>
      <c r="M10" s="6">
        <v>163088.85</v>
      </c>
      <c r="N10" s="6">
        <v>2343497.2200000002</v>
      </c>
    </row>
    <row r="11" spans="1:14" x14ac:dyDescent="0.25">
      <c r="A11" t="s">
        <v>15</v>
      </c>
      <c r="B11" t="s">
        <v>39</v>
      </c>
      <c r="C11" s="6">
        <v>459855.77</v>
      </c>
      <c r="G11" s="7" t="s">
        <v>21</v>
      </c>
      <c r="H11" s="6">
        <v>127155.21</v>
      </c>
      <c r="I11" s="6">
        <v>251918.96</v>
      </c>
      <c r="J11" s="6">
        <v>198095.52</v>
      </c>
      <c r="K11" s="6">
        <v>749935.74</v>
      </c>
      <c r="L11" s="6">
        <v>769490.97</v>
      </c>
      <c r="M11" s="6">
        <v>159297</v>
      </c>
      <c r="N11" s="6">
        <v>2255893.4</v>
      </c>
    </row>
    <row r="12" spans="1:14" x14ac:dyDescent="0.25">
      <c r="A12" t="s">
        <v>15</v>
      </c>
      <c r="B12" t="s">
        <v>40</v>
      </c>
      <c r="C12" s="6">
        <v>526483.04</v>
      </c>
      <c r="G12" s="7" t="s">
        <v>22</v>
      </c>
      <c r="H12" s="6">
        <v>84306.04</v>
      </c>
      <c r="I12" s="6">
        <v>172173.9</v>
      </c>
      <c r="J12" s="6">
        <v>140310.64000000001</v>
      </c>
      <c r="K12" s="6">
        <v>483004.38</v>
      </c>
      <c r="L12" s="6">
        <v>519434.42</v>
      </c>
      <c r="M12" s="6">
        <v>106481.79</v>
      </c>
      <c r="N12" s="6">
        <v>1505711.17</v>
      </c>
    </row>
    <row r="13" spans="1:14" x14ac:dyDescent="0.25">
      <c r="A13" t="s">
        <v>15</v>
      </c>
      <c r="B13" t="s">
        <v>41</v>
      </c>
      <c r="C13" s="6">
        <v>101466.06</v>
      </c>
      <c r="G13" s="7" t="s">
        <v>23</v>
      </c>
      <c r="H13" s="6">
        <v>90807.46</v>
      </c>
      <c r="I13" s="6">
        <v>183630.92</v>
      </c>
      <c r="J13" s="6">
        <v>135626.19</v>
      </c>
      <c r="K13" s="6">
        <v>523462.92</v>
      </c>
      <c r="L13" s="6">
        <v>518082.14</v>
      </c>
      <c r="M13" s="6">
        <v>105348.95</v>
      </c>
      <c r="N13" s="6">
        <v>1556958.5799999998</v>
      </c>
    </row>
    <row r="14" spans="1:14" x14ac:dyDescent="0.25">
      <c r="A14" t="s">
        <v>16</v>
      </c>
      <c r="B14" t="s">
        <v>36</v>
      </c>
      <c r="C14" s="6">
        <v>83147.839999999997</v>
      </c>
      <c r="G14" s="7" t="s">
        <v>31</v>
      </c>
      <c r="H14" s="6">
        <v>84779.38</v>
      </c>
      <c r="I14" s="6">
        <v>175313.77</v>
      </c>
      <c r="J14" s="6">
        <v>142875.43</v>
      </c>
      <c r="K14" s="6">
        <v>524743.57999999996</v>
      </c>
      <c r="L14" s="6">
        <v>500406.86</v>
      </c>
      <c r="M14" s="6">
        <v>101607.79</v>
      </c>
      <c r="N14" s="6">
        <v>1529726.81</v>
      </c>
    </row>
    <row r="15" spans="1:14" x14ac:dyDescent="0.25">
      <c r="A15" t="s">
        <v>16</v>
      </c>
      <c r="B15" t="s">
        <v>37</v>
      </c>
      <c r="C15" s="6">
        <v>173399.3</v>
      </c>
      <c r="G15" s="7" t="s">
        <v>32</v>
      </c>
      <c r="H15" s="6">
        <v>2878.25</v>
      </c>
      <c r="I15" s="6">
        <v>8369.27</v>
      </c>
      <c r="J15" s="6">
        <v>6662.6</v>
      </c>
      <c r="K15" s="6">
        <v>14814.94</v>
      </c>
      <c r="L15" s="6">
        <v>28003.95</v>
      </c>
      <c r="M15" s="6">
        <v>5019.21</v>
      </c>
      <c r="N15" s="6">
        <v>65748.220000000016</v>
      </c>
    </row>
    <row r="16" spans="1:14" x14ac:dyDescent="0.25">
      <c r="A16" t="s">
        <v>16</v>
      </c>
      <c r="B16" t="s">
        <v>38</v>
      </c>
      <c r="C16" s="6">
        <v>152099.65</v>
      </c>
      <c r="G16" s="7" t="s">
        <v>54</v>
      </c>
      <c r="H16" s="6">
        <v>1074094.43</v>
      </c>
      <c r="I16" s="6">
        <v>2143702.88</v>
      </c>
      <c r="J16" s="6">
        <v>1784516.07</v>
      </c>
      <c r="K16" s="6">
        <v>6252234.9100000001</v>
      </c>
      <c r="L16" s="6">
        <v>6633921.7299999995</v>
      </c>
      <c r="M16" s="6">
        <v>1324242.7899999998</v>
      </c>
      <c r="N16" s="6">
        <v>19212712.809999999</v>
      </c>
    </row>
    <row r="17" spans="1:3" x14ac:dyDescent="0.25">
      <c r="A17" t="s">
        <v>16</v>
      </c>
      <c r="B17" t="s">
        <v>39</v>
      </c>
      <c r="C17" s="6">
        <v>485116.08</v>
      </c>
    </row>
    <row r="18" spans="1:3" x14ac:dyDescent="0.25">
      <c r="A18" t="s">
        <v>16</v>
      </c>
      <c r="B18" t="s">
        <v>40</v>
      </c>
      <c r="C18" s="6">
        <v>538837.06000000006</v>
      </c>
    </row>
    <row r="19" spans="1:3" x14ac:dyDescent="0.25">
      <c r="A19" t="s">
        <v>16</v>
      </c>
      <c r="B19" t="s">
        <v>41</v>
      </c>
      <c r="C19" s="6">
        <v>104250.18</v>
      </c>
    </row>
    <row r="20" spans="1:3" x14ac:dyDescent="0.25">
      <c r="A20" t="s">
        <v>17</v>
      </c>
      <c r="B20" t="s">
        <v>36</v>
      </c>
      <c r="C20" s="6">
        <v>84080.52</v>
      </c>
    </row>
    <row r="21" spans="1:3" x14ac:dyDescent="0.25">
      <c r="A21" t="s">
        <v>17</v>
      </c>
      <c r="B21" t="s">
        <v>37</v>
      </c>
      <c r="C21" s="6">
        <v>171718.47</v>
      </c>
    </row>
    <row r="22" spans="1:3" x14ac:dyDescent="0.25">
      <c r="A22" t="s">
        <v>17</v>
      </c>
      <c r="B22" t="s">
        <v>38</v>
      </c>
      <c r="C22" s="6">
        <v>142702.38</v>
      </c>
    </row>
    <row r="23" spans="1:3" x14ac:dyDescent="0.25">
      <c r="A23" t="s">
        <v>17</v>
      </c>
      <c r="B23" t="s">
        <v>39</v>
      </c>
      <c r="C23" s="6">
        <v>479894.16</v>
      </c>
    </row>
    <row r="24" spans="1:3" x14ac:dyDescent="0.25">
      <c r="A24" t="s">
        <v>17</v>
      </c>
      <c r="B24" t="s">
        <v>40</v>
      </c>
      <c r="C24" s="6">
        <v>552962.88</v>
      </c>
    </row>
    <row r="25" spans="1:3" x14ac:dyDescent="0.25">
      <c r="A25" t="s">
        <v>17</v>
      </c>
      <c r="B25" t="s">
        <v>41</v>
      </c>
      <c r="C25" s="6">
        <v>106836.38</v>
      </c>
    </row>
    <row r="26" spans="1:3" x14ac:dyDescent="0.25">
      <c r="A26" t="s">
        <v>18</v>
      </c>
      <c r="B26" t="s">
        <v>36</v>
      </c>
      <c r="C26" s="6">
        <v>85419.99</v>
      </c>
    </row>
    <row r="27" spans="1:3" x14ac:dyDescent="0.25">
      <c r="A27" t="s">
        <v>18</v>
      </c>
      <c r="B27" t="s">
        <v>37</v>
      </c>
      <c r="C27" s="6">
        <v>168838.91</v>
      </c>
    </row>
    <row r="28" spans="1:3" x14ac:dyDescent="0.25">
      <c r="A28" t="s">
        <v>18</v>
      </c>
      <c r="B28" t="s">
        <v>38</v>
      </c>
      <c r="C28" s="6">
        <v>147334.21</v>
      </c>
    </row>
    <row r="29" spans="1:3" x14ac:dyDescent="0.25">
      <c r="A29" t="s">
        <v>18</v>
      </c>
      <c r="B29" t="s">
        <v>39</v>
      </c>
      <c r="C29" s="6">
        <v>510342.7</v>
      </c>
    </row>
    <row r="30" spans="1:3" x14ac:dyDescent="0.25">
      <c r="A30" t="s">
        <v>18</v>
      </c>
      <c r="B30" t="s">
        <v>40</v>
      </c>
      <c r="C30" s="6">
        <v>530769.38</v>
      </c>
    </row>
    <row r="31" spans="1:3" x14ac:dyDescent="0.25">
      <c r="A31" t="s">
        <v>18</v>
      </c>
      <c r="B31" t="s">
        <v>41</v>
      </c>
      <c r="C31" s="6">
        <v>104640.7</v>
      </c>
    </row>
    <row r="32" spans="1:3" x14ac:dyDescent="0.25">
      <c r="A32" t="s">
        <v>19</v>
      </c>
      <c r="B32" t="s">
        <v>36</v>
      </c>
      <c r="C32" s="6">
        <v>125515.74</v>
      </c>
    </row>
    <row r="33" spans="1:3" x14ac:dyDescent="0.25">
      <c r="A33" t="s">
        <v>19</v>
      </c>
      <c r="B33" t="s">
        <v>37</v>
      </c>
      <c r="C33" s="6">
        <v>240993.64</v>
      </c>
    </row>
    <row r="34" spans="1:3" x14ac:dyDescent="0.25">
      <c r="A34" t="s">
        <v>19</v>
      </c>
      <c r="B34" t="s">
        <v>38</v>
      </c>
      <c r="C34" s="6">
        <v>212015.32</v>
      </c>
    </row>
    <row r="35" spans="1:3" x14ac:dyDescent="0.25">
      <c r="A35" t="s">
        <v>19</v>
      </c>
      <c r="B35" t="s">
        <v>39</v>
      </c>
      <c r="C35" s="6">
        <v>777651.71</v>
      </c>
    </row>
    <row r="36" spans="1:3" x14ac:dyDescent="0.25">
      <c r="A36" t="s">
        <v>19</v>
      </c>
      <c r="B36" t="s">
        <v>40</v>
      </c>
      <c r="C36" s="6">
        <v>803697.36</v>
      </c>
    </row>
    <row r="37" spans="1:3" x14ac:dyDescent="0.25">
      <c r="A37" t="s">
        <v>19</v>
      </c>
      <c r="B37" t="s">
        <v>41</v>
      </c>
      <c r="C37" s="6">
        <v>158479.04999999999</v>
      </c>
    </row>
    <row r="38" spans="1:3" x14ac:dyDescent="0.25">
      <c r="A38" t="s">
        <v>20</v>
      </c>
      <c r="B38" t="s">
        <v>36</v>
      </c>
      <c r="C38" s="6">
        <v>130792.59</v>
      </c>
    </row>
    <row r="39" spans="1:3" x14ac:dyDescent="0.25">
      <c r="A39" t="s">
        <v>20</v>
      </c>
      <c r="B39" t="s">
        <v>37</v>
      </c>
      <c r="C39" s="6">
        <v>256427.56</v>
      </c>
    </row>
    <row r="40" spans="1:3" x14ac:dyDescent="0.25">
      <c r="A40" t="s">
        <v>20</v>
      </c>
      <c r="B40" t="s">
        <v>38</v>
      </c>
      <c r="C40" s="6">
        <v>226575.39</v>
      </c>
    </row>
    <row r="41" spans="1:3" x14ac:dyDescent="0.25">
      <c r="A41" t="s">
        <v>20</v>
      </c>
      <c r="B41" t="s">
        <v>39</v>
      </c>
      <c r="C41" s="6">
        <v>745595.04</v>
      </c>
    </row>
    <row r="42" spans="1:3" x14ac:dyDescent="0.25">
      <c r="A42" t="s">
        <v>20</v>
      </c>
      <c r="B42" t="s">
        <v>40</v>
      </c>
      <c r="C42" s="6">
        <v>821017.79</v>
      </c>
    </row>
    <row r="43" spans="1:3" x14ac:dyDescent="0.25">
      <c r="A43" t="s">
        <v>20</v>
      </c>
      <c r="B43" t="s">
        <v>41</v>
      </c>
      <c r="C43" s="6">
        <v>163088.85</v>
      </c>
    </row>
    <row r="44" spans="1:3" x14ac:dyDescent="0.25">
      <c r="A44" t="s">
        <v>21</v>
      </c>
      <c r="B44" t="s">
        <v>36</v>
      </c>
      <c r="C44" s="6">
        <v>127155.21</v>
      </c>
    </row>
    <row r="45" spans="1:3" x14ac:dyDescent="0.25">
      <c r="A45" t="s">
        <v>21</v>
      </c>
      <c r="B45" t="s">
        <v>37</v>
      </c>
      <c r="C45" s="6">
        <v>251918.96</v>
      </c>
    </row>
    <row r="46" spans="1:3" x14ac:dyDescent="0.25">
      <c r="A46" t="s">
        <v>21</v>
      </c>
      <c r="B46" t="s">
        <v>38</v>
      </c>
      <c r="C46" s="6">
        <v>198095.52</v>
      </c>
    </row>
    <row r="47" spans="1:3" x14ac:dyDescent="0.25">
      <c r="A47" t="s">
        <v>21</v>
      </c>
      <c r="B47" t="s">
        <v>39</v>
      </c>
      <c r="C47" s="6">
        <v>749935.74</v>
      </c>
    </row>
    <row r="48" spans="1:3" x14ac:dyDescent="0.25">
      <c r="A48" t="s">
        <v>21</v>
      </c>
      <c r="B48" t="s">
        <v>40</v>
      </c>
      <c r="C48" s="6">
        <v>769490.97</v>
      </c>
    </row>
    <row r="49" spans="1:3" x14ac:dyDescent="0.25">
      <c r="A49" t="s">
        <v>21</v>
      </c>
      <c r="B49" t="s">
        <v>41</v>
      </c>
      <c r="C49" s="6">
        <v>159297</v>
      </c>
    </row>
    <row r="50" spans="1:3" x14ac:dyDescent="0.25">
      <c r="A50" t="s">
        <v>22</v>
      </c>
      <c r="B50" t="s">
        <v>36</v>
      </c>
      <c r="C50" s="6">
        <v>84306.04</v>
      </c>
    </row>
    <row r="51" spans="1:3" x14ac:dyDescent="0.25">
      <c r="A51" t="s">
        <v>22</v>
      </c>
      <c r="B51" t="s">
        <v>37</v>
      </c>
      <c r="C51" s="6">
        <v>172173.9</v>
      </c>
    </row>
    <row r="52" spans="1:3" x14ac:dyDescent="0.25">
      <c r="A52" t="s">
        <v>22</v>
      </c>
      <c r="B52" t="s">
        <v>38</v>
      </c>
      <c r="C52" s="6">
        <v>140310.64000000001</v>
      </c>
    </row>
    <row r="53" spans="1:3" x14ac:dyDescent="0.25">
      <c r="A53" t="s">
        <v>22</v>
      </c>
      <c r="B53" t="s">
        <v>39</v>
      </c>
      <c r="C53" s="6">
        <v>483004.38</v>
      </c>
    </row>
    <row r="54" spans="1:3" x14ac:dyDescent="0.25">
      <c r="A54" t="s">
        <v>22</v>
      </c>
      <c r="B54" t="s">
        <v>40</v>
      </c>
      <c r="C54" s="6">
        <v>519434.42</v>
      </c>
    </row>
    <row r="55" spans="1:3" x14ac:dyDescent="0.25">
      <c r="A55" t="s">
        <v>22</v>
      </c>
      <c r="B55" t="s">
        <v>41</v>
      </c>
      <c r="C55" s="6">
        <v>106481.79</v>
      </c>
    </row>
    <row r="56" spans="1:3" x14ac:dyDescent="0.25">
      <c r="A56" t="s">
        <v>23</v>
      </c>
      <c r="B56" t="s">
        <v>36</v>
      </c>
      <c r="C56" s="6">
        <v>90807.46</v>
      </c>
    </row>
    <row r="57" spans="1:3" x14ac:dyDescent="0.25">
      <c r="A57" t="s">
        <v>23</v>
      </c>
      <c r="B57" t="s">
        <v>37</v>
      </c>
      <c r="C57" s="6">
        <v>183630.92</v>
      </c>
    </row>
    <row r="58" spans="1:3" x14ac:dyDescent="0.25">
      <c r="A58" t="s">
        <v>23</v>
      </c>
      <c r="B58" t="s">
        <v>38</v>
      </c>
      <c r="C58" s="6">
        <v>135626.19</v>
      </c>
    </row>
    <row r="59" spans="1:3" x14ac:dyDescent="0.25">
      <c r="A59" t="s">
        <v>23</v>
      </c>
      <c r="B59" t="s">
        <v>39</v>
      </c>
      <c r="C59" s="6">
        <v>523462.92</v>
      </c>
    </row>
    <row r="60" spans="1:3" x14ac:dyDescent="0.25">
      <c r="A60" t="s">
        <v>23</v>
      </c>
      <c r="B60" t="s">
        <v>40</v>
      </c>
      <c r="C60" s="6">
        <v>518082.14</v>
      </c>
    </row>
    <row r="61" spans="1:3" x14ac:dyDescent="0.25">
      <c r="A61" t="s">
        <v>23</v>
      </c>
      <c r="B61" t="s">
        <v>41</v>
      </c>
      <c r="C61" s="6">
        <v>105348.95</v>
      </c>
    </row>
    <row r="62" spans="1:3" x14ac:dyDescent="0.25">
      <c r="A62" t="s">
        <v>31</v>
      </c>
      <c r="B62" t="s">
        <v>36</v>
      </c>
      <c r="C62" s="6">
        <v>84779.38</v>
      </c>
    </row>
    <row r="63" spans="1:3" x14ac:dyDescent="0.25">
      <c r="A63" t="s">
        <v>31</v>
      </c>
      <c r="B63" t="s">
        <v>37</v>
      </c>
      <c r="C63" s="6">
        <v>175313.77</v>
      </c>
    </row>
    <row r="64" spans="1:3" x14ac:dyDescent="0.25">
      <c r="A64" t="s">
        <v>31</v>
      </c>
      <c r="B64" t="s">
        <v>38</v>
      </c>
      <c r="C64" s="6">
        <v>142875.43</v>
      </c>
    </row>
    <row r="65" spans="1:3" x14ac:dyDescent="0.25">
      <c r="A65" t="s">
        <v>31</v>
      </c>
      <c r="B65" t="s">
        <v>39</v>
      </c>
      <c r="C65" s="6">
        <v>524743.57999999996</v>
      </c>
    </row>
    <row r="66" spans="1:3" x14ac:dyDescent="0.25">
      <c r="A66" t="s">
        <v>31</v>
      </c>
      <c r="B66" t="s">
        <v>40</v>
      </c>
      <c r="C66" s="6">
        <v>500406.86</v>
      </c>
    </row>
    <row r="67" spans="1:3" x14ac:dyDescent="0.25">
      <c r="A67" t="s">
        <v>31</v>
      </c>
      <c r="B67" t="s">
        <v>41</v>
      </c>
      <c r="C67" s="6">
        <v>101607.79</v>
      </c>
    </row>
    <row r="68" spans="1:3" x14ac:dyDescent="0.25">
      <c r="A68" t="s">
        <v>32</v>
      </c>
      <c r="B68" t="s">
        <v>36</v>
      </c>
      <c r="C68" s="6">
        <v>2878.25</v>
      </c>
    </row>
    <row r="69" spans="1:3" x14ac:dyDescent="0.25">
      <c r="A69" t="s">
        <v>32</v>
      </c>
      <c r="B69" t="s">
        <v>37</v>
      </c>
      <c r="C69" s="6">
        <v>8369.27</v>
      </c>
    </row>
    <row r="70" spans="1:3" x14ac:dyDescent="0.25">
      <c r="A70" t="s">
        <v>32</v>
      </c>
      <c r="B70" t="s">
        <v>38</v>
      </c>
      <c r="C70" s="6">
        <v>6662.6</v>
      </c>
    </row>
    <row r="71" spans="1:3" x14ac:dyDescent="0.25">
      <c r="A71" t="s">
        <v>32</v>
      </c>
      <c r="B71" t="s">
        <v>39</v>
      </c>
      <c r="C71" s="6">
        <v>14814.94</v>
      </c>
    </row>
    <row r="72" spans="1:3" x14ac:dyDescent="0.25">
      <c r="A72" t="s">
        <v>32</v>
      </c>
      <c r="B72" t="s">
        <v>40</v>
      </c>
      <c r="C72" s="6">
        <v>28003.95</v>
      </c>
    </row>
    <row r="73" spans="1:3" x14ac:dyDescent="0.25">
      <c r="A73" t="s">
        <v>32</v>
      </c>
      <c r="B73" t="s">
        <v>41</v>
      </c>
      <c r="C73" s="6">
        <v>5019.21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selection activeCell="F17" sqref="F17"/>
    </sheetView>
  </sheetViews>
  <sheetFormatPr defaultRowHeight="15" x14ac:dyDescent="0.25"/>
  <cols>
    <col min="1" max="1" width="13.28515625" bestFit="1" customWidth="1"/>
    <col min="2" max="2" width="15.7109375" bestFit="1" customWidth="1"/>
    <col min="3" max="3" width="14.42578125" bestFit="1" customWidth="1"/>
    <col min="4" max="4" width="16.85546875" bestFit="1" customWidth="1"/>
  </cols>
  <sheetData>
    <row r="1" spans="1:4" x14ac:dyDescent="0.25">
      <c r="A1" s="1" t="s">
        <v>42</v>
      </c>
      <c r="B1" s="1" t="s">
        <v>43</v>
      </c>
      <c r="C1" s="1" t="s">
        <v>44</v>
      </c>
      <c r="D1" s="1" t="s">
        <v>45</v>
      </c>
    </row>
    <row r="2" spans="1:4" x14ac:dyDescent="0.25">
      <c r="A2">
        <v>307</v>
      </c>
      <c r="B2">
        <v>9.1999999999999993</v>
      </c>
      <c r="C2">
        <v>3573.7</v>
      </c>
      <c r="D2">
        <v>254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summary</vt:lpstr>
      <vt:lpstr>summary_cust</vt:lpstr>
      <vt:lpstr>summary_ord</vt:lpstr>
      <vt:lpstr>summary_dyn</vt:lpstr>
      <vt:lpstr>categories</vt:lpstr>
      <vt:lpstr>anomalies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Cherezov</dc:creator>
  <cp:lastModifiedBy>Daniil Cherezov</cp:lastModifiedBy>
  <dcterms:created xsi:type="dcterms:W3CDTF">2026-06-15T12:24:51Z</dcterms:created>
  <dcterms:modified xsi:type="dcterms:W3CDTF">2026-06-15T13:47:14Z</dcterms:modified>
</cp:coreProperties>
</file>